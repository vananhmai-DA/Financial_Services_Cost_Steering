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4969\Desktop\BAWAG_EASYBANK\"/>
    </mc:Choice>
  </mc:AlternateContent>
  <bookViews>
    <workbookView xWindow="0" yWindow="0" windowWidth="23040" windowHeight="9072" tabRatio="962" firstSheet="1" activeTab="10"/>
  </bookViews>
  <sheets>
    <sheet name="Scenario_Delivery" sheetId="12" r:id="rId1"/>
    <sheet name="Dim_Date" sheetId="2" r:id="rId2"/>
    <sheet name="Cost_Item_Master" sheetId="3" r:id="rId3"/>
    <sheet name="Fact_Cost_Monthly" sheetId="4" r:id="rId4"/>
    <sheet name="Driver_Master" sheetId="5" r:id="rId5"/>
    <sheet name="Fact_Driver_Monthly" sheetId="6" r:id="rId6"/>
    <sheet name="Root_Causes" sheetId="7" r:id="rId7"/>
    <sheet name="Action_Plan" sheetId="10" r:id="rId8"/>
    <sheet name="Decision_Requests" sheetId="9" r:id="rId9"/>
    <sheet name="Operational_Drivers" sheetId="14" r:id="rId10"/>
    <sheet name="Validation" sheetId="15" r:id="rId11"/>
  </sheets>
  <externalReferences>
    <externalReference r:id="rId12"/>
    <externalReference r:id="rId13"/>
  </externalReferences>
  <calcPr calcId="162913"/>
</workbook>
</file>

<file path=xl/calcChain.xml><?xml version="1.0" encoding="utf-8"?>
<calcChain xmlns="http://schemas.openxmlformats.org/spreadsheetml/2006/main">
  <c r="C23" i="15" l="1"/>
  <c r="D23" i="15" s="1"/>
  <c r="E23" i="15" s="1"/>
  <c r="C22" i="15"/>
  <c r="D22" i="15" s="1"/>
  <c r="E22" i="15" s="1"/>
  <c r="C21" i="15"/>
  <c r="D21" i="15" s="1"/>
  <c r="E21" i="15" s="1"/>
  <c r="C17" i="15"/>
  <c r="D17" i="15" s="1"/>
  <c r="E17" i="15" s="1"/>
  <c r="C16" i="15"/>
  <c r="D16" i="15" s="1"/>
  <c r="E16" i="15" s="1"/>
  <c r="C15" i="15"/>
  <c r="D15" i="15" s="1"/>
  <c r="E15" i="15" s="1"/>
  <c r="C14" i="15"/>
  <c r="D14" i="15" s="1"/>
  <c r="E14" i="15" s="1"/>
  <c r="C13" i="15"/>
  <c r="C18" i="15" s="1"/>
  <c r="D18" i="15" s="1"/>
  <c r="E18" i="15" s="1"/>
  <c r="C11" i="15"/>
  <c r="D11" i="15" s="1"/>
  <c r="E11" i="15" s="1"/>
  <c r="C9" i="15"/>
  <c r="C10" i="15" s="1"/>
  <c r="C8" i="15"/>
  <c r="D8" i="15" s="1"/>
  <c r="E8" i="15" s="1"/>
  <c r="C6" i="15"/>
  <c r="C7" i="15" s="1"/>
  <c r="D7" i="15" s="1"/>
  <c r="E7" i="15" s="1"/>
  <c r="C5" i="15"/>
  <c r="D5" i="15" s="1"/>
  <c r="E5" i="15" s="1"/>
  <c r="D10" i="15" l="1"/>
  <c r="E10" i="15" s="1"/>
  <c r="C12" i="15"/>
  <c r="D12" i="15" s="1"/>
  <c r="E12" i="15" s="1"/>
  <c r="D6" i="15"/>
  <c r="E6" i="15" s="1"/>
  <c r="D13" i="15"/>
  <c r="E13" i="15" s="1"/>
  <c r="D9" i="15"/>
  <c r="E9" i="15" s="1"/>
  <c r="E16" i="12" l="1"/>
  <c r="G16" i="12" s="1"/>
  <c r="E15" i="12"/>
  <c r="G15" i="12" s="1"/>
  <c r="E14" i="12"/>
  <c r="G14" i="12" s="1"/>
  <c r="E13" i="12"/>
  <c r="G13" i="12" s="1"/>
  <c r="E12" i="12"/>
  <c r="G12" i="12" s="1"/>
  <c r="E11" i="12"/>
  <c r="G11" i="12" s="1"/>
  <c r="E10" i="12"/>
  <c r="G10" i="12" s="1"/>
  <c r="E9" i="12"/>
  <c r="G9" i="12" s="1"/>
  <c r="E8" i="12"/>
  <c r="G8" i="12" s="1"/>
  <c r="E7" i="12"/>
  <c r="G7" i="12" s="1"/>
  <c r="E6" i="12"/>
  <c r="G6" i="12" s="1"/>
  <c r="E5" i="12"/>
  <c r="G5" i="12" s="1"/>
  <c r="E4" i="12"/>
  <c r="G4" i="12" s="1"/>
  <c r="E3" i="12"/>
  <c r="G3" i="12" s="1"/>
  <c r="E2" i="12"/>
  <c r="G2" i="12" s="1"/>
  <c r="F6" i="10"/>
  <c r="O6" i="10" s="1"/>
  <c r="F5" i="10"/>
  <c r="O5" i="10" s="1"/>
  <c r="F4" i="10"/>
  <c r="O4" i="10" s="1"/>
  <c r="F3" i="10"/>
  <c r="O3" i="10" s="1"/>
  <c r="F2" i="10"/>
  <c r="O2" i="10" s="1"/>
  <c r="J145" i="6" l="1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</calcChain>
</file>

<file path=xl/sharedStrings.xml><?xml version="1.0" encoding="utf-8"?>
<sst xmlns="http://schemas.openxmlformats.org/spreadsheetml/2006/main" count="4880" uniqueCount="485">
  <si>
    <t>easybank Germany</t>
  </si>
  <si>
    <t>Health AG</t>
  </si>
  <si>
    <t>Month_Start</t>
  </si>
  <si>
    <t>Year</t>
  </si>
  <si>
    <t>Quarter</t>
  </si>
  <si>
    <t>Month_Number</t>
  </si>
  <si>
    <t>Month_Name</t>
  </si>
  <si>
    <t>Year_Month</t>
  </si>
  <si>
    <t>Scenario_Type</t>
  </si>
  <si>
    <t>Quarter 1</t>
  </si>
  <si>
    <t>January</t>
  </si>
  <si>
    <t>2026-01</t>
  </si>
  <si>
    <t>Actual</t>
  </si>
  <si>
    <t>February</t>
  </si>
  <si>
    <t>2026-02</t>
  </si>
  <si>
    <t>March</t>
  </si>
  <si>
    <t>2026-03</t>
  </si>
  <si>
    <t>Quarter 2</t>
  </si>
  <si>
    <t>April</t>
  </si>
  <si>
    <t>2026-04</t>
  </si>
  <si>
    <t>May</t>
  </si>
  <si>
    <t>2026-05</t>
  </si>
  <si>
    <t>June</t>
  </si>
  <si>
    <t>2026-06</t>
  </si>
  <si>
    <t>Quarter 3</t>
  </si>
  <si>
    <t>July</t>
  </si>
  <si>
    <t>2026-07</t>
  </si>
  <si>
    <t>Latest Estimate</t>
  </si>
  <si>
    <t>August</t>
  </si>
  <si>
    <t>2026-08</t>
  </si>
  <si>
    <t>Forecast</t>
  </si>
  <si>
    <t>September</t>
  </si>
  <si>
    <t>2026-09</t>
  </si>
  <si>
    <t>Quarter 4</t>
  </si>
  <si>
    <t>October</t>
  </si>
  <si>
    <t>2026-10</t>
  </si>
  <si>
    <t>November</t>
  </si>
  <si>
    <t>2026-11</t>
  </si>
  <si>
    <t>December</t>
  </si>
  <si>
    <t>2026-12</t>
  </si>
  <si>
    <t>Cost_Item_ID</t>
  </si>
  <si>
    <t>Brand</t>
  </si>
  <si>
    <t>Department</t>
  </si>
  <si>
    <t>Cost_Category</t>
  </si>
  <si>
    <t>Cost_Subcategory</t>
  </si>
  <si>
    <t>Issue_Group</t>
  </si>
  <si>
    <t>Cost_Nature</t>
  </si>
  <si>
    <t>Cost_Owner</t>
  </si>
  <si>
    <t>Root_Cause_Class</t>
  </si>
  <si>
    <t>Controllability</t>
  </si>
  <si>
    <t>Annual_Budget_EUR_m</t>
  </si>
  <si>
    <t>Year_to_Date_Variance_EUR_m</t>
  </si>
  <si>
    <t>Full_Year_Variance_EUR_m</t>
  </si>
  <si>
    <t>IT01</t>
  </si>
  <si>
    <t>Information Technology and Transformation</t>
  </si>
  <si>
    <t>Technology</t>
  </si>
  <si>
    <t>Cloud hosting</t>
  </si>
  <si>
    <t>Information Technology</t>
  </si>
  <si>
    <t>Run cost</t>
  </si>
  <si>
    <t>Chief Information Officer</t>
  </si>
  <si>
    <t>Structural</t>
  </si>
  <si>
    <t>Controllable</t>
  </si>
  <si>
    <t>IT02</t>
  </si>
  <si>
    <t>IT03</t>
  </si>
  <si>
    <t>Germany Shared Services</t>
  </si>
  <si>
    <t>Software licences</t>
  </si>
  <si>
    <t>IT04</t>
  </si>
  <si>
    <t>Professional services</t>
  </si>
  <si>
    <t>External consultants</t>
  </si>
  <si>
    <t>Change cost</t>
  </si>
  <si>
    <t>One-off</t>
  </si>
  <si>
    <t>IT05</t>
  </si>
  <si>
    <t>HR01</t>
  </si>
  <si>
    <t>Human Resources</t>
  </si>
  <si>
    <t>Personnel</t>
  </si>
  <si>
    <t>Payroll</t>
  </si>
  <si>
    <t>Chief Human Resources Officer</t>
  </si>
  <si>
    <t>Timing</t>
  </si>
  <si>
    <t>Partially controllable</t>
  </si>
  <si>
    <t>HR02</t>
  </si>
  <si>
    <t>HR03</t>
  </si>
  <si>
    <t>HR04</t>
  </si>
  <si>
    <t>Customer Operations</t>
  </si>
  <si>
    <t>Overtime</t>
  </si>
  <si>
    <t>Head of Operations</t>
  </si>
  <si>
    <t>HR05</t>
  </si>
  <si>
    <t>Health Operations</t>
  </si>
  <si>
    <t>Head of Health Operations</t>
  </si>
  <si>
    <t>HR06</t>
  </si>
  <si>
    <t>Bonus accrual</t>
  </si>
  <si>
    <t>HR07</t>
  </si>
  <si>
    <t>Contractors</t>
  </si>
  <si>
    <t>HR08</t>
  </si>
  <si>
    <t>OP01</t>
  </si>
  <si>
    <t>Payments Operations</t>
  </si>
  <si>
    <t>Supplier costs</t>
  </si>
  <si>
    <t>Card processing suppliers</t>
  </si>
  <si>
    <t>Operations Suppliers</t>
  </si>
  <si>
    <t>Head of Payments Operations</t>
  </si>
  <si>
    <t>OP02</t>
  </si>
  <si>
    <t>Credit Operations</t>
  </si>
  <si>
    <t>Loan servicing suppliers</t>
  </si>
  <si>
    <t>Head of Credit Operations</t>
  </si>
  <si>
    <t>OP03</t>
  </si>
  <si>
    <t>Collections Operations</t>
  </si>
  <si>
    <t>Collections outsourcing</t>
  </si>
  <si>
    <t>Head of Collections</t>
  </si>
  <si>
    <t>OP04</t>
  </si>
  <si>
    <t>Billing platform suppliers</t>
  </si>
  <si>
    <t>OP05</t>
  </si>
  <si>
    <t>Corporate Services</t>
  </si>
  <si>
    <t>Facilities and service contracts</t>
  </si>
  <si>
    <t>Head of Procurement</t>
  </si>
  <si>
    <t>OT01</t>
  </si>
  <si>
    <t>Marketing and Customer</t>
  </si>
  <si>
    <t>Marketing</t>
  </si>
  <si>
    <t>Customer acquisition</t>
  </si>
  <si>
    <t>Other</t>
  </si>
  <si>
    <t>Chief Commercial Officer</t>
  </si>
  <si>
    <t>OT02</t>
  </si>
  <si>
    <t>Finance and Risk</t>
  </si>
  <si>
    <t>Corporate functions</t>
  </si>
  <si>
    <t>Finance and risk</t>
  </si>
  <si>
    <t>Chief Financial Officer</t>
  </si>
  <si>
    <t>OT03</t>
  </si>
  <si>
    <t>Legal and Compliance</t>
  </si>
  <si>
    <t>Legal and compliance</t>
  </si>
  <si>
    <t>General Counsel</t>
  </si>
  <si>
    <t>OT04</t>
  </si>
  <si>
    <t>Facilities</t>
  </si>
  <si>
    <t>Chief Operating Officer</t>
  </si>
  <si>
    <t>OT05</t>
  </si>
  <si>
    <t>Other corporate</t>
  </si>
  <si>
    <t>Budget_EUR_m</t>
  </si>
  <si>
    <t>Actual_Forecast_EUR_m</t>
  </si>
  <si>
    <t>Variance_EUR_m</t>
  </si>
  <si>
    <t>Driver_ID</t>
  </si>
  <si>
    <t>Driver_Group</t>
  </si>
  <si>
    <t>Driver_Name</t>
  </si>
  <si>
    <t>Unit</t>
  </si>
  <si>
    <t>Linked_Issue</t>
  </si>
  <si>
    <t>Management_Interpretation</t>
  </si>
  <si>
    <t>DRV01</t>
  </si>
  <si>
    <t>Digital scale</t>
  </si>
  <si>
    <t>Active digital users</t>
  </si>
  <si>
    <t>thousand users</t>
  </si>
  <si>
    <t>User growth is slower than cloud capacity growth.</t>
  </si>
  <si>
    <t>DRV02</t>
  </si>
  <si>
    <t>Cloud capacity index</t>
  </si>
  <si>
    <t>index, January equals 100</t>
  </si>
  <si>
    <t>Capacity expanded faster than users, indicating over-provisioning.</t>
  </si>
  <si>
    <t>DRV03</t>
  </si>
  <si>
    <t>Licensing</t>
  </si>
  <si>
    <t>Licensed software seats</t>
  </si>
  <si>
    <t>number of seats</t>
  </si>
  <si>
    <t>Licence counts increased while utilisation remained below plan.</t>
  </si>
  <si>
    <t>DRV04</t>
  </si>
  <si>
    <t>Licence utilisation</t>
  </si>
  <si>
    <t>percent</t>
  </si>
  <si>
    <t>Unused licences were not removed promptly.</t>
  </si>
  <si>
    <t>DRV05</t>
  </si>
  <si>
    <t>Transformation</t>
  </si>
  <si>
    <t>External consultant full-time equivalents</t>
  </si>
  <si>
    <t>full-time equivalents</t>
  </si>
  <si>
    <t>Transformation work required more external capacity than planned.</t>
  </si>
  <si>
    <t>DRV06</t>
  </si>
  <si>
    <t>Workforce</t>
  </si>
  <si>
    <t>Employee headcount</t>
  </si>
  <si>
    <t>employees</t>
  </si>
  <si>
    <t>Hiring started earlier than assumed in the budget.</t>
  </si>
  <si>
    <t>DRV07</t>
  </si>
  <si>
    <t>Overtime hours</t>
  </si>
  <si>
    <t>hours</t>
  </si>
  <si>
    <t>Service pressure increased overtime in customer operations.</t>
  </si>
  <si>
    <t>DRV08</t>
  </si>
  <si>
    <t>Contractor full-time equivalents</t>
  </si>
  <si>
    <t>Contractor demand remained higher than planned.</t>
  </si>
  <si>
    <t>DRV09</t>
  </si>
  <si>
    <t>Operating volume</t>
  </si>
  <si>
    <t>Transaction volume</t>
  </si>
  <si>
    <t>million transactions</t>
  </si>
  <si>
    <t>Higher processing volume increased variable supplier charges.</t>
  </si>
  <si>
    <t>DRV10</t>
  </si>
  <si>
    <t>Supplier pricing</t>
  </si>
  <si>
    <t>Supplier price index</t>
  </si>
  <si>
    <t>Supplier rates increased above budget assumptions.</t>
  </si>
  <si>
    <t>DRV11</t>
  </si>
  <si>
    <t>Expected contract discount</t>
  </si>
  <si>
    <t>The budget assumed a four percent renewal discount.</t>
  </si>
  <si>
    <t>DRV12</t>
  </si>
  <si>
    <t>Realised contract discount</t>
  </si>
  <si>
    <t>One contract renewal did not deliver the expected discount.</t>
  </si>
  <si>
    <t>Plan_Value</t>
  </si>
  <si>
    <t>Actual_Forecast_Value</t>
  </si>
  <si>
    <t>Variance_Value</t>
  </si>
  <si>
    <t>Root_Cause_ID</t>
  </si>
  <si>
    <t>Root_Cause</t>
  </si>
  <si>
    <t>Evidence_Driver_ID</t>
  </si>
  <si>
    <t>Full_Year_Impact_EUR_m</t>
  </si>
  <si>
    <t>Owner</t>
  </si>
  <si>
    <t>RC01</t>
  </si>
  <si>
    <t>Cloud capacity grew faster than active users.</t>
  </si>
  <si>
    <t>DRV01 and DRV02</t>
  </si>
  <si>
    <t>Cloud capacity rises materially faster than digital users.</t>
  </si>
  <si>
    <t>RC02</t>
  </si>
  <si>
    <t>Unused software licences were not removed.</t>
  </si>
  <si>
    <t>DRV03 and DRV04</t>
  </si>
  <si>
    <t>Licensed seats rise while utilisation falls below plan.</t>
  </si>
  <si>
    <t>RC03</t>
  </si>
  <si>
    <t>Transformation projects required more external consultants and contract rates increased.</t>
  </si>
  <si>
    <t>Consultant full-time equivalents remain above the budget baseline.</t>
  </si>
  <si>
    <t>RC04</t>
  </si>
  <si>
    <t>Hiring started earlier than planned.</t>
  </si>
  <si>
    <t>Headcount is above the planned hiring curve.</t>
  </si>
  <si>
    <t>RC05</t>
  </si>
  <si>
    <t>Overtime increased because of service pressure.</t>
  </si>
  <si>
    <t>Human Resources and Operations</t>
  </si>
  <si>
    <t>Overtime hours peak during periods of higher operating demand.</t>
  </si>
  <si>
    <t>RC06</t>
  </si>
  <si>
    <t>Bonus accrual assumptions were revised.</t>
  </si>
  <si>
    <t>Manual finance adjustment</t>
  </si>
  <si>
    <t>The revised expected payout increased the full-year accrual.</t>
  </si>
  <si>
    <t>RC07</t>
  </si>
  <si>
    <t>Contractor usage remained high.</t>
  </si>
  <si>
    <t>Contractor capacity stays above budget through the forecast period.</t>
  </si>
  <si>
    <t>RC08</t>
  </si>
  <si>
    <t>Supplier prices increased above budget assumptions.</t>
  </si>
  <si>
    <t>The supplier price index rises above the budget curve.</t>
  </si>
  <si>
    <t>RC09</t>
  </si>
  <si>
    <t>Transaction volume increased.</t>
  </si>
  <si>
    <t>Higher processing volume creates variable supplier charges.</t>
  </si>
  <si>
    <t>RC10</t>
  </si>
  <si>
    <t>One contract was renewed without the expected discount.</t>
  </si>
  <si>
    <t>DRV11 and DRV12</t>
  </si>
  <si>
    <t>The realised discount is below the four percent budget assumption.</t>
  </si>
  <si>
    <t>RC11</t>
  </si>
  <si>
    <t>Some project cost was booked as run cost.</t>
  </si>
  <si>
    <t>Manual accounting review</t>
  </si>
  <si>
    <t>A reclassification review is required to improve run-rate transparency.</t>
  </si>
  <si>
    <t>Status</t>
  </si>
  <si>
    <t>Decision_Required</t>
  </si>
  <si>
    <t>ACT01</t>
  </si>
  <si>
    <t>ACT02</t>
  </si>
  <si>
    <t>ACT04</t>
  </si>
  <si>
    <t>ACT05</t>
  </si>
  <si>
    <t>Decision_ID</t>
  </si>
  <si>
    <t>Related_Action_ID</t>
  </si>
  <si>
    <t>Decision_Owner</t>
  </si>
  <si>
    <t>Decision_Deadline</t>
  </si>
  <si>
    <t>Financial_Impact_EUR_m</t>
  </si>
  <si>
    <t>Consequence_of_No_Decision</t>
  </si>
  <si>
    <t>DEC01</t>
  </si>
  <si>
    <t>Approve consultant reduction</t>
  </si>
  <si>
    <t>Pending</t>
  </si>
  <si>
    <t>Each month of delay reduces the achievable 2026 saving and increases transformation run-rate.</t>
  </si>
  <si>
    <t>DEC02</t>
  </si>
  <si>
    <t>Approve project deferral</t>
  </si>
  <si>
    <t>Executive Committee</t>
  </si>
  <si>
    <t>Low-priority projects continue to consume change budget.</t>
  </si>
  <si>
    <t>DEC03</t>
  </si>
  <si>
    <t>Grant procurement renegotiation mandate</t>
  </si>
  <si>
    <t>The next contract window may be missed.</t>
  </si>
  <si>
    <t>DEC04</t>
  </si>
  <si>
    <t>Approve cloud optimisation guardrails</t>
  </si>
  <si>
    <t>Chief Information Officer and Chief Financial Officer</t>
  </si>
  <si>
    <t>Capacity can be reduced only after business risk thresholds are agreed.</t>
  </si>
  <si>
    <t>DEC05</t>
  </si>
  <si>
    <t>All actions</t>
  </si>
  <si>
    <t>Management reporting would continue to rely on an unrealistic budget baseline.</t>
  </si>
  <si>
    <t>Approve revised forecast of €104.1M after net actions</t>
  </si>
  <si>
    <t>Action_ID</t>
  </si>
  <si>
    <t>Action</t>
  </si>
  <si>
    <t>Gross_Saving_EUR_m</t>
  </si>
  <si>
    <t>Implementation_Cost_EUR_m</t>
  </si>
  <si>
    <t>Net_Saving_EUR_m</t>
  </si>
  <si>
    <t>Deadline</t>
  </si>
  <si>
    <t>Risk</t>
  </si>
  <si>
    <t>Risk_Rating</t>
  </si>
  <si>
    <t>Notes</t>
  </si>
  <si>
    <t>Realised_Saving_EUR_m</t>
  </si>
  <si>
    <t>Remaining_Saving_EUR_m</t>
  </si>
  <si>
    <t>Delivery_Confidence</t>
  </si>
  <si>
    <t>Last_Update</t>
  </si>
  <si>
    <t>Saving_Comment</t>
  </si>
  <si>
    <t>Cloud and licence optimisation</t>
  </si>
  <si>
    <t>Capacity constraints</t>
  </si>
  <si>
    <t>Medium</t>
  </si>
  <si>
    <t>Not started</t>
  </si>
  <si>
    <t>Chief Financial Officer approval</t>
  </si>
  <si>
    <t>Remove idle licences, right-size cloud capacity and introduce monthly usage governance.</t>
  </si>
  <si>
    <t>Not started; full planned saving remains to be delivered.</t>
  </si>
  <si>
    <t>Reduce external consultants</t>
  </si>
  <si>
    <t>Transformation project delay</t>
  </si>
  <si>
    <t>High</t>
  </si>
  <si>
    <t>Prioritise critical work and replace selected external roles with internal capacity.</t>
  </si>
  <si>
    <t>Not started; saving depends on approval and project prioritisation.</t>
  </si>
  <si>
    <t>ACT03</t>
  </si>
  <si>
    <t>Overtime and workforce planning</t>
  </si>
  <si>
    <t>Service pressure</t>
  </si>
  <si>
    <t>In progress</t>
  </si>
  <si>
    <t>Operating model alignment</t>
  </si>
  <si>
    <t>Reset shift plans, hiring phasing and overtime approval thresholds.</t>
  </si>
  <si>
    <t>Initial saving realised through tighter overtime approval and shift planning.</t>
  </si>
  <si>
    <t>Supplier renegotiation</t>
  </si>
  <si>
    <t>Contract timing</t>
  </si>
  <si>
    <t>Procurement mandate</t>
  </si>
  <si>
    <t>Reopen pricing, volume tiers and service-level terms for major suppliers.</t>
  </si>
  <si>
    <t>Not started; delivery depends on supplier contract windows.</t>
  </si>
  <si>
    <t>Defer low-priority projects</t>
  </si>
  <si>
    <t>Chief Financial Officer and Business</t>
  </si>
  <si>
    <t>Strategic delay</t>
  </si>
  <si>
    <t>Executive decision</t>
  </si>
  <si>
    <t>Defer lower-priority change initiatives while protecting regulatory and customer-critical work.</t>
  </si>
  <si>
    <t>Low</t>
  </si>
  <si>
    <t>Not started; saving depends on executive approval to defer projects.</t>
  </si>
  <si>
    <t>Cost_Item</t>
  </si>
  <si>
    <t>Operational_Driver</t>
  </si>
  <si>
    <t>Driver_Type</t>
  </si>
  <si>
    <t>Primary_Action_ID</t>
  </si>
  <si>
    <t>Primary_Action</t>
  </si>
  <si>
    <t>Higher transaction and user activity</t>
  </si>
  <si>
    <t>Volume</t>
  </si>
  <si>
    <t>Usage increased faster than the original capacity plan.</t>
  </si>
  <si>
    <t>Contract price increase</t>
  </si>
  <si>
    <t>Price</t>
  </si>
  <si>
    <t>Cloud unit prices were above the budget assumption.</t>
  </si>
  <si>
    <t>Unused reserved capacity</t>
  </si>
  <si>
    <t>Efficiency</t>
  </si>
  <si>
    <t>Reserved capacity was not fully used and can be rightsized.</t>
  </si>
  <si>
    <t>Migration started earlier than planned</t>
  </si>
  <si>
    <t>Migration costs were recognised earlier than budgeted.</t>
  </si>
  <si>
    <t>Supplier pricing increased above plan.</t>
  </si>
  <si>
    <t>Part of the contracted capacity is currently unused.</t>
  </si>
  <si>
    <t>More active users than planned</t>
  </si>
  <si>
    <t>Additional users increased the number of required licences.</t>
  </si>
  <si>
    <t>Inactive licences were not removed</t>
  </si>
  <si>
    <t>Unused licences remained active after team changes.</t>
  </si>
  <si>
    <t>Renewal price increase</t>
  </si>
  <si>
    <t>Renewal prices were higher than the budget baseline.</t>
  </si>
  <si>
    <t>Transformation project extension</t>
  </si>
  <si>
    <t>Scope</t>
  </si>
  <si>
    <t>The transformation programme required support for longer than planned.</t>
  </si>
  <si>
    <t>Higher consultant daily rates</t>
  </si>
  <si>
    <t>Specialist consultant rates increased above budget.</t>
  </si>
  <si>
    <t>Additional specialist capacity</t>
  </si>
  <si>
    <t>Specialist support was added for migration and control requirements.</t>
  </si>
  <si>
    <t>Overlap between internal and external teams</t>
  </si>
  <si>
    <t>External support continued during the internal handover period.</t>
  </si>
  <si>
    <t>Shared-service transformation work continued beyond plan.</t>
  </si>
  <si>
    <t>Contracted rates were above the original assumption.</t>
  </si>
  <si>
    <t>Temporary specialist support was required for integration work.</t>
  </si>
  <si>
    <t>The handover period created temporary resource overlap.</t>
  </si>
  <si>
    <t>Scenario</t>
  </si>
  <si>
    <t>Scenario_Order</t>
  </si>
  <si>
    <t>Planned_Net_Saving_EUR_m</t>
  </si>
  <si>
    <t>Delivery_Rate</t>
  </si>
  <si>
    <t>Expected_Net_Saving_EUR_m</t>
  </si>
  <si>
    <t>Assumption</t>
  </si>
  <si>
    <t>Downside</t>
  </si>
  <si>
    <t>Only part of the cloud and licence opportunity is delivered due to capacity constraints.</t>
  </si>
  <si>
    <t>Consultant reduction is delayed to protect critical transformation milestones.</t>
  </si>
  <si>
    <t>Existing overtime controls continue but service pressure limits the saving.</t>
  </si>
  <si>
    <t>Only limited supplier benefit is achieved within the current contract window.</t>
  </si>
  <si>
    <t>Only selected projects can be deferred without creating unacceptable business risk.</t>
  </si>
  <si>
    <t>Base Case</t>
  </si>
  <si>
    <t>Most cloud and licence actions are delivered, with some execution delay.</t>
  </si>
  <si>
    <t>Consultant capacity is reduced gradually while critical work is protected.</t>
  </si>
  <si>
    <t>Workforce planning actions continue with strong operational support.</t>
  </si>
  <si>
    <t>Renegotiation delivers most, but not all, of the planned supplier saving.</t>
  </si>
  <si>
    <t>Most low-priority projects are deferred after management review.</t>
  </si>
  <si>
    <t>Full Delivery</t>
  </si>
  <si>
    <t>All planned cloud and licence actions are delivered.</t>
  </si>
  <si>
    <t>The full consultant reduction is achieved.</t>
  </si>
  <si>
    <t>All workforce planning actions are implemented.</t>
  </si>
  <si>
    <t>The full supplier renegotiation benefit is achieved.</t>
  </si>
  <si>
    <t>All approved low-priority projects are deferred.</t>
  </si>
  <si>
    <t>Financial Control and Reconciliation</t>
  </si>
  <si>
    <t>Control</t>
  </si>
  <si>
    <t>Expected</t>
  </si>
  <si>
    <t>Calculated</t>
  </si>
  <si>
    <t>Difference</t>
  </si>
  <si>
    <t>Year-to-date budget (€m)</t>
  </si>
  <si>
    <t>Year-to-date actual (€m)</t>
  </si>
  <si>
    <t>Year-to-date variance (€m)</t>
  </si>
  <si>
    <t>Full-year budget (€m)</t>
  </si>
  <si>
    <t>Full-year forecast before actions (€m)</t>
  </si>
  <si>
    <t>Full-year variance (€m)</t>
  </si>
  <si>
    <t>Gross mitigation actions (€m)</t>
  </si>
  <si>
    <t>Residual overspend after gross actions (€m)</t>
  </si>
  <si>
    <t>Information Technology full-year variance (€m)</t>
  </si>
  <si>
    <t>Human Resources full-year variance (€m)</t>
  </si>
  <si>
    <t>Operations Suppliers full-year variance (€m)</t>
  </si>
  <si>
    <t>Other full-year variance (€m)</t>
  </si>
  <si>
    <t>Root-cause impact total (€m)</t>
  </si>
  <si>
    <t>Information Technology and Human Resources concentration</t>
  </si>
  <si>
    <t>Period control</t>
  </si>
  <si>
    <t>Closed actual months</t>
  </si>
  <si>
    <t>Latest estimate months</t>
  </si>
  <si>
    <t>Forecast months</t>
  </si>
  <si>
    <t>Operational_Driver_ID</t>
  </si>
  <si>
    <t>Action_Coverage</t>
  </si>
  <si>
    <t>OD001</t>
  </si>
  <si>
    <t>Direct</t>
  </si>
  <si>
    <t>OD002</t>
  </si>
  <si>
    <t>OD003</t>
  </si>
  <si>
    <t>OD004</t>
  </si>
  <si>
    <t>Indirect</t>
  </si>
  <si>
    <t>OD005</t>
  </si>
  <si>
    <t>OD006</t>
  </si>
  <si>
    <t>OD007</t>
  </si>
  <si>
    <t>OD008</t>
  </si>
  <si>
    <t>OD009</t>
  </si>
  <si>
    <t>OD010</t>
  </si>
  <si>
    <t>OD011</t>
  </si>
  <si>
    <t>OD012</t>
  </si>
  <si>
    <t>OD013</t>
  </si>
  <si>
    <t>OD014</t>
  </si>
  <si>
    <t>OD015</t>
  </si>
  <si>
    <t>OD016</t>
  </si>
  <si>
    <t>OD017</t>
  </si>
  <si>
    <t>OD018</t>
  </si>
  <si>
    <t>OD019</t>
  </si>
  <si>
    <t>Customer service roles hired earlier than planned</t>
  </si>
  <si>
    <t>Earlier hiring increased payroll ahead of the approved hiring curve.</t>
  </si>
  <si>
    <t>OD020</t>
  </si>
  <si>
    <t>Health operations roles hired earlier than planned</t>
  </si>
  <si>
    <t>Health operations capacity was added earlier than budgeted.</t>
  </si>
  <si>
    <t>OD021</t>
  </si>
  <si>
    <t>Shared-service hiring ahead of plan</t>
  </si>
  <si>
    <t>Shared-service recruitment was completed before the planned start dates.</t>
  </si>
  <si>
    <t>OD022</t>
  </si>
  <si>
    <t>Higher service demand and shift gaps</t>
  </si>
  <si>
    <t>Overtime hours increased to cover demand peaks and staffing gaps.</t>
  </si>
  <si>
    <t>OD023</t>
  </si>
  <si>
    <t>Higher service demand during peak periods</t>
  </si>
  <si>
    <t>Peak workload required additional overtime in Health Operations.</t>
  </si>
  <si>
    <t>OD024</t>
  </si>
  <si>
    <t>Expected bonus payout assumption revised</t>
  </si>
  <si>
    <t>Forecast assumption review</t>
  </si>
  <si>
    <t>The expected payout was revised upward, increasing the full-year accrual.</t>
  </si>
  <si>
    <t>OD025</t>
  </si>
  <si>
    <t>Temporary contractor capacity remained longer</t>
  </si>
  <si>
    <t>Contractor support remained in place because the operational backlog was not cleared.</t>
  </si>
  <si>
    <t>OD026</t>
  </si>
  <si>
    <t>Specialist contractors retained for backlog support</t>
  </si>
  <si>
    <t>Specialist contractors were retained longer than planned to support backlog reduction.</t>
  </si>
  <si>
    <t>OD027</t>
  </si>
  <si>
    <t>Card processing unit price increase</t>
  </si>
  <si>
    <t>Processing prices increased above the budget assumption.</t>
  </si>
  <si>
    <t>OD028</t>
  </si>
  <si>
    <t>Loan servicing unit price increase</t>
  </si>
  <si>
    <t>Loan servicing rates increased above the planned level.</t>
  </si>
  <si>
    <t>OD029</t>
  </si>
  <si>
    <t>Collections supplier rate increase</t>
  </si>
  <si>
    <t>Outsourced collections rates increased above budget.</t>
  </si>
  <si>
    <t>OD030</t>
  </si>
  <si>
    <t>Billing platform price indexation</t>
  </si>
  <si>
    <t>The annual platform price indexation was higher than planned.</t>
  </si>
  <si>
    <t>OD031</t>
  </si>
  <si>
    <t>Facilities and service contract indexation</t>
  </si>
  <si>
    <t>Service contract indexation exceeded the budget baseline.</t>
  </si>
  <si>
    <t>OD032</t>
  </si>
  <si>
    <t>Higher card transaction volume</t>
  </si>
  <si>
    <t>Demand management and volume forecast</t>
  </si>
  <si>
    <t>Higher card activity increased variable processing charges.</t>
  </si>
  <si>
    <t>OD033</t>
  </si>
  <si>
    <t>Higher loan servicing volume</t>
  </si>
  <si>
    <t>Higher loan activity increased variable servicing charges.</t>
  </si>
  <si>
    <t>OD034</t>
  </si>
  <si>
    <t>Higher billing transaction volume</t>
  </si>
  <si>
    <t>Higher billing activity increased platform transaction charges.</t>
  </si>
  <si>
    <t>OD035</t>
  </si>
  <si>
    <t>Expected renewal discount not achieved</t>
  </si>
  <si>
    <t>Contract</t>
  </si>
  <si>
    <t>The renewed contract did not deliver the discount assumed in the budget.</t>
  </si>
  <si>
    <t>OD036</t>
  </si>
  <si>
    <t>The service contract renewal did not achieve the planned discount.</t>
  </si>
  <si>
    <t>OD037</t>
  </si>
  <si>
    <t>Project implementation fee booked as run cost</t>
  </si>
  <si>
    <t>Classification</t>
  </si>
  <si>
    <t>Accounting reclassification and run-rate review</t>
  </si>
  <si>
    <t>A project-related implementation fee was classified as recurring run cost.</t>
  </si>
  <si>
    <t>Cloud consumption increased with Healthcare Finance activity.</t>
  </si>
  <si>
    <t>Healthcare Finance</t>
  </si>
  <si>
    <t>Digital Consumer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</si>
</sst>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\-mm\-dd"/>
    <numFmt numFmtId="165" formatCode="0.0;[Red]\(0.0\);\-"/>
    <numFmt numFmtId="166" formatCode="dd\ mmm\ yyyy"/>
    <numFmt numFmtId="167" formatCode="0.0%;[Red]\(0.0%\);\-"/>
    <numFmt numFmtId="168" formatCode="\€0.00&quot;M&quot;;[Red]\(\€0.00&quot;M&quot;\);\-"/>
  </numFmts>
  <fonts count="8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6"/>
      <color rgb="FFFFFFFF"/>
      <name val="Carlito"/>
    </font>
    <font>
      <b/>
      <sz val="11"/>
      <color rgb="FF344054"/>
      <name val="Carlito"/>
    </font>
    <font>
      <sz val="10"/>
      <color rgb="FF000000"/>
      <name val="Carlito"/>
    </font>
    <font>
      <sz val="10"/>
      <color rgb="FF0000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5" fontId="2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3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/>
    <xf numFmtId="166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5" fillId="4" borderId="0" xfId="0" applyNumberFormat="1" applyFont="1" applyFill="1" applyBorder="1" applyAlignment="1">
      <alignment horizontal="left" vertical="center" wrapText="1"/>
    </xf>
    <xf numFmtId="167" fontId="2" fillId="0" borderId="0" xfId="0" applyNumberFormat="1" applyFont="1" applyFill="1" applyBorder="1" applyAlignment="1">
      <alignment wrapText="1"/>
    </xf>
    <xf numFmtId="167" fontId="3" fillId="0" borderId="0" xfId="0" applyNumberFormat="1" applyFont="1" applyFill="1" applyBorder="1" applyAlignment="1">
      <alignment wrapText="1"/>
    </xf>
    <xf numFmtId="0" fontId="5" fillId="4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vertical="top" wrapText="1"/>
    </xf>
    <xf numFmtId="168" fontId="7" fillId="4" borderId="0" xfId="0" applyNumberFormat="1" applyFont="1" applyFill="1" applyBorder="1" applyAlignment="1">
      <alignment horizontal="right" vertical="top" wrapText="1"/>
    </xf>
    <xf numFmtId="0" fontId="6" fillId="0" borderId="0" xfId="0" applyNumberFormat="1" applyFont="1" applyFill="1" applyBorder="1" applyAlignment="1">
      <alignment vertical="top" wrapText="1"/>
    </xf>
    <xf numFmtId="168" fontId="7" fillId="0" borderId="0" xfId="0" applyNumberFormat="1" applyFont="1" applyFill="1" applyBorder="1" applyAlignment="1">
      <alignment horizontal="right" vertical="top" wrapText="1"/>
    </xf>
    <xf numFmtId="0" fontId="4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7"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027A48"/>
      </font>
      <fill>
        <patternFill patternType="solid">
          <bgColor rgb="FFEAF6EC"/>
        </patternFill>
      </fill>
    </dxf>
    <dxf>
      <font>
        <b/>
        <color rgb="FFB42318"/>
      </font>
      <fill>
        <patternFill>
          <bgColor rgb="FFFDECEC"/>
        </patternFill>
      </fill>
    </dxf>
    <dxf>
      <font>
        <b/>
        <color rgb="FF027A48"/>
      </font>
      <fill>
        <patternFill>
          <bgColor rgb="FFEAF6EC"/>
        </patternFill>
      </fill>
    </dxf>
    <dxf>
      <font>
        <b/>
        <color rgb="FFB42318"/>
      </font>
      <fill>
        <patternFill>
          <bgColor rgb="FFFDECEC"/>
        </patternFill>
      </fill>
    </dxf>
    <dxf>
      <font>
        <color rgb="FF027A48"/>
      </font>
      <fill>
        <patternFill>
          <bgColor rgb="FFEAF6EC"/>
        </patternFill>
      </fill>
    </dxf>
    <dxf>
      <font>
        <color rgb="FFB42318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WAG_QBR_Cost_Steering_Upgrad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WAG_QBR_Cost_Steering_July202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Dim_Date"/>
      <sheetName val="Cost_Item_Master"/>
      <sheetName val="Fact_Cost_Monthly"/>
      <sheetName val="Driver_Master"/>
      <sheetName val="Fact_Driver_Monthly"/>
      <sheetName val="Root_Causes"/>
      <sheetName val="Action_Plan"/>
      <sheetName val="Decision_Requests"/>
      <sheetName val="Validation"/>
      <sheetName val="PowerBI_DAX"/>
      <sheetName val="Dashboard_Blueprint"/>
      <sheetName val="Quick_Dashboard"/>
      <sheetName val="Interview_Story"/>
      <sheetName val="Scenario_Assumptions"/>
      <sheetName val="IT_Driver_Analysis"/>
      <sheetName val="Scenario_Delivery"/>
      <sheetName val="Scenario_Summary"/>
    </sheetNames>
    <sheetDataSet>
      <sheetData sheetId="0"/>
      <sheetData sheetId="1">
        <row r="2">
          <cell r="G2" t="str">
            <v>Actual</v>
          </cell>
        </row>
      </sheetData>
      <sheetData sheetId="2"/>
      <sheetData sheetId="3">
        <row r="2">
          <cell r="G2" t="str">
            <v>Information Technology</v>
          </cell>
        </row>
      </sheetData>
      <sheetData sheetId="4"/>
      <sheetData sheetId="5"/>
      <sheetData sheetId="6">
        <row r="2">
          <cell r="G2">
            <v>2</v>
          </cell>
        </row>
      </sheetData>
      <sheetData sheetId="7">
        <row r="2">
          <cell r="D2">
            <v>1.8</v>
          </cell>
          <cell r="F2">
            <v>1.6</v>
          </cell>
        </row>
        <row r="3">
          <cell r="F3">
            <v>0.85</v>
          </cell>
        </row>
        <row r="4">
          <cell r="F4">
            <v>0.6</v>
          </cell>
        </row>
        <row r="5">
          <cell r="F5">
            <v>0.54999999999999993</v>
          </cell>
        </row>
        <row r="6">
          <cell r="F6">
            <v>0.8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Dim_Date"/>
      <sheetName val="Cost_Item_Master"/>
      <sheetName val="Fact_Cost_Monthly"/>
      <sheetName val="Driver_Master"/>
      <sheetName val="Fact_Driver_Monthly"/>
      <sheetName val="Root_Causes"/>
      <sheetName val="Action_Plan"/>
      <sheetName val="Decision_Requests"/>
      <sheetName val="Validation"/>
      <sheetName val="PowerBI_DAX"/>
      <sheetName val="Dashboard_Blueprint"/>
      <sheetName val="Quick_Dashboard"/>
      <sheetName val="Interview_Story"/>
      <sheetName val="Scenario_Assumptions"/>
    </sheetNames>
    <sheetDataSet>
      <sheetData sheetId="0"/>
      <sheetData sheetId="1">
        <row r="2">
          <cell r="G2" t="str">
            <v>Actual</v>
          </cell>
        </row>
        <row r="3">
          <cell r="G3" t="str">
            <v>Actual</v>
          </cell>
        </row>
        <row r="4">
          <cell r="G4" t="str">
            <v>Actual</v>
          </cell>
        </row>
        <row r="5">
          <cell r="G5" t="str">
            <v>Actual</v>
          </cell>
        </row>
        <row r="6">
          <cell r="G6" t="str">
            <v>Actual</v>
          </cell>
        </row>
        <row r="7">
          <cell r="G7" t="str">
            <v>Actual</v>
          </cell>
        </row>
        <row r="8">
          <cell r="G8" t="str">
            <v>Latest Estimate</v>
          </cell>
        </row>
        <row r="9">
          <cell r="G9" t="str">
            <v>Forecast</v>
          </cell>
        </row>
        <row r="10">
          <cell r="G10" t="str">
            <v>Forecast</v>
          </cell>
        </row>
        <row r="11">
          <cell r="G11" t="str">
            <v>Forecast</v>
          </cell>
        </row>
        <row r="12">
          <cell r="G12" t="str">
            <v>Forecast</v>
          </cell>
        </row>
        <row r="13">
          <cell r="G13" t="str">
            <v>Forecast</v>
          </cell>
        </row>
      </sheetData>
      <sheetData sheetId="2"/>
      <sheetData sheetId="3">
        <row r="2">
          <cell r="G2" t="str">
            <v>Information Technology</v>
          </cell>
          <cell r="K2" t="str">
            <v>Actual</v>
          </cell>
          <cell r="L2">
            <v>0.5</v>
          </cell>
          <cell r="M2">
            <v>0.59799999999999998</v>
          </cell>
          <cell r="N2">
            <v>9.7999999999999976E-2</v>
          </cell>
        </row>
        <row r="3">
          <cell r="G3" t="str">
            <v>Information Technology</v>
          </cell>
          <cell r="K3" t="str">
            <v>Actual</v>
          </cell>
          <cell r="L3">
            <v>0.5</v>
          </cell>
          <cell r="M3">
            <v>0.60499999999999998</v>
          </cell>
          <cell r="N3">
            <v>0.10499999999999998</v>
          </cell>
        </row>
        <row r="4">
          <cell r="G4" t="str">
            <v>Information Technology</v>
          </cell>
          <cell r="K4" t="str">
            <v>Actual</v>
          </cell>
          <cell r="L4">
            <v>0.5</v>
          </cell>
          <cell r="M4">
            <v>0.61199999999999999</v>
          </cell>
          <cell r="N4">
            <v>0.11199999999999999</v>
          </cell>
        </row>
        <row r="5">
          <cell r="G5" t="str">
            <v>Information Technology</v>
          </cell>
          <cell r="K5" t="str">
            <v>Actual</v>
          </cell>
          <cell r="L5">
            <v>0.5</v>
          </cell>
          <cell r="M5">
            <v>0.61899999999999999</v>
          </cell>
          <cell r="N5">
            <v>0.11899999999999999</v>
          </cell>
        </row>
        <row r="6">
          <cell r="G6" t="str">
            <v>Information Technology</v>
          </cell>
          <cell r="K6" t="str">
            <v>Actual</v>
          </cell>
          <cell r="L6">
            <v>0.5</v>
          </cell>
          <cell r="M6">
            <v>0.626</v>
          </cell>
          <cell r="N6">
            <v>0.126</v>
          </cell>
        </row>
        <row r="7">
          <cell r="G7" t="str">
            <v>Information Technology</v>
          </cell>
          <cell r="K7" t="str">
            <v>Actual</v>
          </cell>
          <cell r="L7">
            <v>0.5</v>
          </cell>
          <cell r="M7">
            <v>0.64</v>
          </cell>
          <cell r="N7">
            <v>0.14000000000000001</v>
          </cell>
        </row>
        <row r="8">
          <cell r="G8" t="str">
            <v>Information Technology</v>
          </cell>
          <cell r="K8" t="str">
            <v>Latest Estimate</v>
          </cell>
          <cell r="L8">
            <v>0.5</v>
          </cell>
          <cell r="M8">
            <v>0.60399999999999998</v>
          </cell>
          <cell r="N8">
            <v>0.10399999999999998</v>
          </cell>
        </row>
        <row r="9">
          <cell r="G9" t="str">
            <v>Information Technology</v>
          </cell>
          <cell r="K9" t="str">
            <v>Forecast</v>
          </cell>
          <cell r="L9">
            <v>0.5</v>
          </cell>
          <cell r="M9">
            <v>0.61199999999999999</v>
          </cell>
          <cell r="N9">
            <v>0.11199999999999999</v>
          </cell>
        </row>
        <row r="10">
          <cell r="G10" t="str">
            <v>Information Technology</v>
          </cell>
          <cell r="K10" t="str">
            <v>Forecast</v>
          </cell>
          <cell r="L10">
            <v>0.5</v>
          </cell>
          <cell r="M10">
            <v>0.62</v>
          </cell>
          <cell r="N10">
            <v>0.12</v>
          </cell>
        </row>
        <row r="11">
          <cell r="G11" t="str">
            <v>Information Technology</v>
          </cell>
          <cell r="K11" t="str">
            <v>Forecast</v>
          </cell>
          <cell r="L11">
            <v>0.5</v>
          </cell>
          <cell r="M11">
            <v>0.63600000000000001</v>
          </cell>
          <cell r="N11">
            <v>0.13600000000000001</v>
          </cell>
        </row>
        <row r="12">
          <cell r="G12" t="str">
            <v>Information Technology</v>
          </cell>
          <cell r="K12" t="str">
            <v>Forecast</v>
          </cell>
          <cell r="L12">
            <v>0.5</v>
          </cell>
          <cell r="M12">
            <v>0.65200000000000002</v>
          </cell>
          <cell r="N12">
            <v>0.15200000000000002</v>
          </cell>
        </row>
        <row r="13">
          <cell r="G13" t="str">
            <v>Information Technology</v>
          </cell>
          <cell r="K13" t="str">
            <v>Forecast</v>
          </cell>
          <cell r="L13">
            <v>0.5</v>
          </cell>
          <cell r="M13">
            <v>0.67600000000000005</v>
          </cell>
          <cell r="N13">
            <v>0.17600000000000005</v>
          </cell>
        </row>
        <row r="14">
          <cell r="G14" t="str">
            <v>Information Technology</v>
          </cell>
          <cell r="K14" t="str">
            <v>Actual</v>
          </cell>
          <cell r="L14">
            <v>0.16669999999999999</v>
          </cell>
          <cell r="M14">
            <v>0.19470000000000001</v>
          </cell>
          <cell r="N14">
            <v>2.8000000000000025E-2</v>
          </cell>
        </row>
        <row r="15">
          <cell r="G15" t="str">
            <v>Information Technology</v>
          </cell>
          <cell r="K15" t="str">
            <v>Actual</v>
          </cell>
          <cell r="L15">
            <v>0.16669999999999999</v>
          </cell>
          <cell r="M15">
            <v>0.19670000000000001</v>
          </cell>
          <cell r="N15">
            <v>3.0000000000000027E-2</v>
          </cell>
        </row>
        <row r="16">
          <cell r="G16" t="str">
            <v>Information Technology</v>
          </cell>
          <cell r="K16" t="str">
            <v>Actual</v>
          </cell>
          <cell r="L16">
            <v>0.16669999999999999</v>
          </cell>
          <cell r="M16">
            <v>0.19869999999999999</v>
          </cell>
          <cell r="N16">
            <v>3.2000000000000001E-2</v>
          </cell>
        </row>
        <row r="17">
          <cell r="G17" t="str">
            <v>Information Technology</v>
          </cell>
          <cell r="K17" t="str">
            <v>Actual</v>
          </cell>
          <cell r="L17">
            <v>0.16669999999999999</v>
          </cell>
          <cell r="M17">
            <v>0.20069999999999999</v>
          </cell>
          <cell r="N17">
            <v>3.4000000000000002E-2</v>
          </cell>
        </row>
        <row r="18">
          <cell r="G18" t="str">
            <v>Information Technology</v>
          </cell>
          <cell r="K18" t="str">
            <v>Actual</v>
          </cell>
          <cell r="L18">
            <v>0.16669999999999999</v>
          </cell>
          <cell r="M18">
            <v>0.20269999999999999</v>
          </cell>
          <cell r="N18">
            <v>3.6000000000000004E-2</v>
          </cell>
        </row>
        <row r="19">
          <cell r="G19" t="str">
            <v>Information Technology</v>
          </cell>
          <cell r="K19" t="str">
            <v>Actual</v>
          </cell>
          <cell r="L19">
            <v>0.16650000000000001</v>
          </cell>
          <cell r="M19">
            <v>0.20649999999999999</v>
          </cell>
          <cell r="N19">
            <v>3.999999999999998E-2</v>
          </cell>
        </row>
        <row r="20">
          <cell r="G20" t="str">
            <v>Information Technology</v>
          </cell>
          <cell r="K20" t="str">
            <v>Latest Estimate</v>
          </cell>
          <cell r="L20">
            <v>0.16669999999999999</v>
          </cell>
          <cell r="M20">
            <v>0.20569999999999999</v>
          </cell>
          <cell r="N20">
            <v>3.9000000000000007E-2</v>
          </cell>
        </row>
        <row r="21">
          <cell r="G21" t="str">
            <v>Information Technology</v>
          </cell>
          <cell r="K21" t="str">
            <v>Forecast</v>
          </cell>
          <cell r="L21">
            <v>0.16669999999999999</v>
          </cell>
          <cell r="M21">
            <v>0.2087</v>
          </cell>
          <cell r="N21">
            <v>4.200000000000001E-2</v>
          </cell>
        </row>
        <row r="22">
          <cell r="G22" t="str">
            <v>Information Technology</v>
          </cell>
          <cell r="K22" t="str">
            <v>Forecast</v>
          </cell>
          <cell r="L22">
            <v>0.16669999999999999</v>
          </cell>
          <cell r="M22">
            <v>0.2117</v>
          </cell>
          <cell r="N22">
            <v>4.5000000000000012E-2</v>
          </cell>
        </row>
        <row r="23">
          <cell r="G23" t="str">
            <v>Information Technology</v>
          </cell>
          <cell r="K23" t="str">
            <v>Forecast</v>
          </cell>
          <cell r="L23">
            <v>0.16669999999999999</v>
          </cell>
          <cell r="M23">
            <v>0.2177</v>
          </cell>
          <cell r="N23">
            <v>5.1000000000000018E-2</v>
          </cell>
        </row>
        <row r="24">
          <cell r="G24" t="str">
            <v>Information Technology</v>
          </cell>
          <cell r="K24" t="str">
            <v>Forecast</v>
          </cell>
          <cell r="L24">
            <v>0.16669999999999999</v>
          </cell>
          <cell r="M24">
            <v>0.22370000000000001</v>
          </cell>
          <cell r="N24">
            <v>5.7000000000000023E-2</v>
          </cell>
        </row>
        <row r="25">
          <cell r="G25" t="str">
            <v>Information Technology</v>
          </cell>
          <cell r="K25" t="str">
            <v>Forecast</v>
          </cell>
          <cell r="L25">
            <v>0.16650000000000001</v>
          </cell>
          <cell r="M25">
            <v>0.23250000000000001</v>
          </cell>
          <cell r="N25">
            <v>6.6000000000000003E-2</v>
          </cell>
        </row>
        <row r="26">
          <cell r="G26" t="str">
            <v>Information Technology</v>
          </cell>
          <cell r="K26" t="str">
            <v>Actual</v>
          </cell>
          <cell r="L26">
            <v>0.33329999999999999</v>
          </cell>
          <cell r="M26">
            <v>0.38929999999999998</v>
          </cell>
          <cell r="N26">
            <v>5.5999999999999994E-2</v>
          </cell>
        </row>
        <row r="27">
          <cell r="G27" t="str">
            <v>Information Technology</v>
          </cell>
          <cell r="K27" t="str">
            <v>Actual</v>
          </cell>
          <cell r="L27">
            <v>0.33329999999999999</v>
          </cell>
          <cell r="M27">
            <v>0.39329999999999998</v>
          </cell>
          <cell r="N27">
            <v>0.06</v>
          </cell>
        </row>
        <row r="28">
          <cell r="G28" t="str">
            <v>Information Technology</v>
          </cell>
          <cell r="K28" t="str">
            <v>Actual</v>
          </cell>
          <cell r="L28">
            <v>0.33329999999999999</v>
          </cell>
          <cell r="M28">
            <v>0.39729999999999999</v>
          </cell>
          <cell r="N28">
            <v>6.4000000000000001E-2</v>
          </cell>
        </row>
        <row r="29">
          <cell r="G29" t="str">
            <v>Information Technology</v>
          </cell>
          <cell r="K29" t="str">
            <v>Actual</v>
          </cell>
          <cell r="L29">
            <v>0.33329999999999999</v>
          </cell>
          <cell r="M29">
            <v>0.40129999999999999</v>
          </cell>
          <cell r="N29">
            <v>6.8000000000000005E-2</v>
          </cell>
        </row>
        <row r="30">
          <cell r="G30" t="str">
            <v>Information Technology</v>
          </cell>
          <cell r="K30" t="str">
            <v>Actual</v>
          </cell>
          <cell r="L30">
            <v>0.33329999999999999</v>
          </cell>
          <cell r="M30">
            <v>0.40529999999999999</v>
          </cell>
          <cell r="N30">
            <v>7.2000000000000008E-2</v>
          </cell>
        </row>
        <row r="31">
          <cell r="G31" t="str">
            <v>Information Technology</v>
          </cell>
          <cell r="K31" t="str">
            <v>Actual</v>
          </cell>
          <cell r="L31">
            <v>0.33350000000000002</v>
          </cell>
          <cell r="M31">
            <v>0.41349999999999998</v>
          </cell>
          <cell r="N31">
            <v>7.999999999999996E-2</v>
          </cell>
        </row>
        <row r="32">
          <cell r="G32" t="str">
            <v>Information Technology</v>
          </cell>
          <cell r="K32" t="str">
            <v>Latest Estimate</v>
          </cell>
          <cell r="L32">
            <v>0.33329999999999999</v>
          </cell>
          <cell r="M32">
            <v>0.38529999999999998</v>
          </cell>
          <cell r="N32">
            <v>5.1999999999999991E-2</v>
          </cell>
        </row>
        <row r="33">
          <cell r="G33" t="str">
            <v>Information Technology</v>
          </cell>
          <cell r="K33" t="str">
            <v>Forecast</v>
          </cell>
          <cell r="L33">
            <v>0.33329999999999999</v>
          </cell>
          <cell r="M33">
            <v>0.38929999999999998</v>
          </cell>
          <cell r="N33">
            <v>5.5999999999999994E-2</v>
          </cell>
        </row>
        <row r="34">
          <cell r="G34" t="str">
            <v>Information Technology</v>
          </cell>
          <cell r="K34" t="str">
            <v>Forecast</v>
          </cell>
          <cell r="L34">
            <v>0.33329999999999999</v>
          </cell>
          <cell r="M34">
            <v>0.39329999999999998</v>
          </cell>
          <cell r="N34">
            <v>0.06</v>
          </cell>
        </row>
        <row r="35">
          <cell r="G35" t="str">
            <v>Information Technology</v>
          </cell>
          <cell r="K35" t="str">
            <v>Forecast</v>
          </cell>
          <cell r="L35">
            <v>0.33329999999999999</v>
          </cell>
          <cell r="M35">
            <v>0.40129999999999999</v>
          </cell>
          <cell r="N35">
            <v>6.8000000000000005E-2</v>
          </cell>
        </row>
        <row r="36">
          <cell r="G36" t="str">
            <v>Information Technology</v>
          </cell>
          <cell r="K36" t="str">
            <v>Forecast</v>
          </cell>
          <cell r="L36">
            <v>0.33329999999999999</v>
          </cell>
          <cell r="M36">
            <v>0.4093</v>
          </cell>
          <cell r="N36">
            <v>7.6000000000000012E-2</v>
          </cell>
        </row>
        <row r="37">
          <cell r="G37" t="str">
            <v>Information Technology</v>
          </cell>
          <cell r="K37" t="str">
            <v>Forecast</v>
          </cell>
          <cell r="L37">
            <v>0.33350000000000002</v>
          </cell>
          <cell r="M37">
            <v>0.42149999999999999</v>
          </cell>
          <cell r="N37">
            <v>8.7999999999999967E-2</v>
          </cell>
        </row>
        <row r="38">
          <cell r="G38" t="str">
            <v>Information Technology</v>
          </cell>
          <cell r="K38" t="str">
            <v>Actual</v>
          </cell>
          <cell r="L38">
            <v>0.41670000000000001</v>
          </cell>
          <cell r="M38">
            <v>0.51470000000000005</v>
          </cell>
          <cell r="N38">
            <v>9.8000000000000032E-2</v>
          </cell>
        </row>
        <row r="39">
          <cell r="G39" t="str">
            <v>Information Technology</v>
          </cell>
          <cell r="K39" t="str">
            <v>Actual</v>
          </cell>
          <cell r="L39">
            <v>0.41670000000000001</v>
          </cell>
          <cell r="M39">
            <v>0.52170000000000005</v>
          </cell>
          <cell r="N39">
            <v>0.10500000000000004</v>
          </cell>
        </row>
        <row r="40">
          <cell r="G40" t="str">
            <v>Information Technology</v>
          </cell>
          <cell r="K40" t="str">
            <v>Actual</v>
          </cell>
          <cell r="L40">
            <v>0.41670000000000001</v>
          </cell>
          <cell r="M40">
            <v>0.52869999999999995</v>
          </cell>
          <cell r="N40">
            <v>0.11199999999999993</v>
          </cell>
        </row>
        <row r="41">
          <cell r="G41" t="str">
            <v>Information Technology</v>
          </cell>
          <cell r="K41" t="str">
            <v>Actual</v>
          </cell>
          <cell r="L41">
            <v>0.41670000000000001</v>
          </cell>
          <cell r="M41">
            <v>0.53569999999999995</v>
          </cell>
          <cell r="N41">
            <v>0.11899999999999994</v>
          </cell>
        </row>
        <row r="42">
          <cell r="G42" t="str">
            <v>Information Technology</v>
          </cell>
          <cell r="K42" t="str">
            <v>Actual</v>
          </cell>
          <cell r="L42">
            <v>0.41670000000000001</v>
          </cell>
          <cell r="M42">
            <v>0.54269999999999996</v>
          </cell>
          <cell r="N42">
            <v>0.12599999999999995</v>
          </cell>
        </row>
        <row r="43">
          <cell r="G43" t="str">
            <v>Information Technology</v>
          </cell>
          <cell r="K43" t="str">
            <v>Actual</v>
          </cell>
          <cell r="L43">
            <v>0.41649999999999998</v>
          </cell>
          <cell r="M43">
            <v>0.55649999999999999</v>
          </cell>
          <cell r="N43">
            <v>0.14000000000000001</v>
          </cell>
        </row>
        <row r="44">
          <cell r="G44" t="str">
            <v>Information Technology</v>
          </cell>
          <cell r="K44" t="str">
            <v>Latest Estimate</v>
          </cell>
          <cell r="L44">
            <v>0.41670000000000001</v>
          </cell>
          <cell r="M44">
            <v>0.50770000000000004</v>
          </cell>
          <cell r="N44">
            <v>9.1000000000000025E-2</v>
          </cell>
        </row>
        <row r="45">
          <cell r="G45" t="str">
            <v>Information Technology</v>
          </cell>
          <cell r="K45" t="str">
            <v>Forecast</v>
          </cell>
          <cell r="L45">
            <v>0.41670000000000001</v>
          </cell>
          <cell r="M45">
            <v>0.51470000000000005</v>
          </cell>
          <cell r="N45">
            <v>9.8000000000000032E-2</v>
          </cell>
        </row>
        <row r="46">
          <cell r="G46" t="str">
            <v>Information Technology</v>
          </cell>
          <cell r="K46" t="str">
            <v>Forecast</v>
          </cell>
          <cell r="L46">
            <v>0.41670000000000001</v>
          </cell>
          <cell r="M46">
            <v>0.52170000000000005</v>
          </cell>
          <cell r="N46">
            <v>0.10500000000000004</v>
          </cell>
        </row>
        <row r="47">
          <cell r="G47" t="str">
            <v>Information Technology</v>
          </cell>
          <cell r="K47" t="str">
            <v>Forecast</v>
          </cell>
          <cell r="L47">
            <v>0.41670000000000001</v>
          </cell>
          <cell r="M47">
            <v>0.53569999999999995</v>
          </cell>
          <cell r="N47">
            <v>0.11899999999999994</v>
          </cell>
        </row>
        <row r="48">
          <cell r="G48" t="str">
            <v>Information Technology</v>
          </cell>
          <cell r="K48" t="str">
            <v>Forecast</v>
          </cell>
          <cell r="L48">
            <v>0.41670000000000001</v>
          </cell>
          <cell r="M48">
            <v>0.54969999999999997</v>
          </cell>
          <cell r="N48">
            <v>0.13299999999999995</v>
          </cell>
        </row>
        <row r="49">
          <cell r="G49" t="str">
            <v>Information Technology</v>
          </cell>
          <cell r="K49" t="str">
            <v>Forecast</v>
          </cell>
          <cell r="L49">
            <v>0.41649999999999998</v>
          </cell>
          <cell r="M49">
            <v>0.57050000000000001</v>
          </cell>
          <cell r="N49">
            <v>0.15400000000000003</v>
          </cell>
        </row>
        <row r="50">
          <cell r="G50" t="str">
            <v>Information Technology</v>
          </cell>
          <cell r="K50" t="str">
            <v>Actual</v>
          </cell>
          <cell r="L50">
            <v>0.25</v>
          </cell>
          <cell r="M50">
            <v>0.30599999999999999</v>
          </cell>
          <cell r="N50">
            <v>5.5999999999999994E-2</v>
          </cell>
        </row>
        <row r="51">
          <cell r="G51" t="str">
            <v>Information Technology</v>
          </cell>
          <cell r="K51" t="str">
            <v>Actual</v>
          </cell>
          <cell r="L51">
            <v>0.25</v>
          </cell>
          <cell r="M51">
            <v>0.31</v>
          </cell>
          <cell r="N51">
            <v>0.06</v>
          </cell>
        </row>
        <row r="52">
          <cell r="G52" t="str">
            <v>Information Technology</v>
          </cell>
          <cell r="K52" t="str">
            <v>Actual</v>
          </cell>
          <cell r="L52">
            <v>0.25</v>
          </cell>
          <cell r="M52">
            <v>0.314</v>
          </cell>
          <cell r="N52">
            <v>6.4000000000000001E-2</v>
          </cell>
        </row>
        <row r="53">
          <cell r="G53" t="str">
            <v>Information Technology</v>
          </cell>
          <cell r="K53" t="str">
            <v>Actual</v>
          </cell>
          <cell r="L53">
            <v>0.25</v>
          </cell>
          <cell r="M53">
            <v>0.318</v>
          </cell>
          <cell r="N53">
            <v>6.8000000000000005E-2</v>
          </cell>
        </row>
        <row r="54">
          <cell r="G54" t="str">
            <v>Information Technology</v>
          </cell>
          <cell r="K54" t="str">
            <v>Actual</v>
          </cell>
          <cell r="L54">
            <v>0.25</v>
          </cell>
          <cell r="M54">
            <v>0.32200000000000001</v>
          </cell>
          <cell r="N54">
            <v>7.2000000000000008E-2</v>
          </cell>
        </row>
        <row r="55">
          <cell r="G55" t="str">
            <v>Information Technology</v>
          </cell>
          <cell r="K55" t="str">
            <v>Actual</v>
          </cell>
          <cell r="L55">
            <v>0.25</v>
          </cell>
          <cell r="M55">
            <v>0.33</v>
          </cell>
          <cell r="N55">
            <v>8.0000000000000016E-2</v>
          </cell>
        </row>
        <row r="56">
          <cell r="G56" t="str">
            <v>Information Technology</v>
          </cell>
          <cell r="K56" t="str">
            <v>Latest Estimate</v>
          </cell>
          <cell r="L56">
            <v>0.25</v>
          </cell>
          <cell r="M56">
            <v>0.30199999999999999</v>
          </cell>
          <cell r="N56">
            <v>5.1999999999999991E-2</v>
          </cell>
        </row>
        <row r="57">
          <cell r="G57" t="str">
            <v>Information Technology</v>
          </cell>
          <cell r="K57" t="str">
            <v>Forecast</v>
          </cell>
          <cell r="L57">
            <v>0.25</v>
          </cell>
          <cell r="M57">
            <v>0.30599999999999999</v>
          </cell>
          <cell r="N57">
            <v>5.5999999999999994E-2</v>
          </cell>
        </row>
        <row r="58">
          <cell r="G58" t="str">
            <v>Information Technology</v>
          </cell>
          <cell r="K58" t="str">
            <v>Forecast</v>
          </cell>
          <cell r="L58">
            <v>0.25</v>
          </cell>
          <cell r="M58">
            <v>0.31</v>
          </cell>
          <cell r="N58">
            <v>0.06</v>
          </cell>
        </row>
        <row r="59">
          <cell r="G59" t="str">
            <v>Information Technology</v>
          </cell>
          <cell r="K59" t="str">
            <v>Forecast</v>
          </cell>
          <cell r="L59">
            <v>0.25</v>
          </cell>
          <cell r="M59">
            <v>0.318</v>
          </cell>
          <cell r="N59">
            <v>6.8000000000000005E-2</v>
          </cell>
        </row>
        <row r="60">
          <cell r="G60" t="str">
            <v>Information Technology</v>
          </cell>
          <cell r="K60" t="str">
            <v>Forecast</v>
          </cell>
          <cell r="L60">
            <v>0.25</v>
          </cell>
          <cell r="M60">
            <v>0.32600000000000001</v>
          </cell>
          <cell r="N60">
            <v>7.6000000000000012E-2</v>
          </cell>
        </row>
        <row r="61">
          <cell r="G61" t="str">
            <v>Information Technology</v>
          </cell>
          <cell r="K61" t="str">
            <v>Forecast</v>
          </cell>
          <cell r="L61">
            <v>0.25</v>
          </cell>
          <cell r="M61">
            <v>0.33800000000000002</v>
          </cell>
          <cell r="N61">
            <v>8.8000000000000023E-2</v>
          </cell>
        </row>
        <row r="62">
          <cell r="G62" t="str">
            <v>Human Resources</v>
          </cell>
          <cell r="K62" t="str">
            <v>Actual</v>
          </cell>
          <cell r="L62">
            <v>1</v>
          </cell>
          <cell r="M62">
            <v>1.0349999999999999</v>
          </cell>
          <cell r="N62">
            <v>3.499999999999992E-2</v>
          </cell>
        </row>
        <row r="63">
          <cell r="G63" t="str">
            <v>Human Resources</v>
          </cell>
          <cell r="K63" t="str">
            <v>Actual</v>
          </cell>
          <cell r="L63">
            <v>1</v>
          </cell>
          <cell r="M63">
            <v>1.0375000000000001</v>
          </cell>
          <cell r="N63">
            <v>3.7500000000000089E-2</v>
          </cell>
        </row>
        <row r="64">
          <cell r="G64" t="str">
            <v>Human Resources</v>
          </cell>
          <cell r="K64" t="str">
            <v>Actual</v>
          </cell>
          <cell r="L64">
            <v>1</v>
          </cell>
          <cell r="M64">
            <v>1.04</v>
          </cell>
          <cell r="N64">
            <v>4.0000000000000036E-2</v>
          </cell>
        </row>
        <row r="65">
          <cell r="G65" t="str">
            <v>Human Resources</v>
          </cell>
          <cell r="K65" t="str">
            <v>Actual</v>
          </cell>
          <cell r="L65">
            <v>1</v>
          </cell>
          <cell r="M65">
            <v>1.0425</v>
          </cell>
          <cell r="N65">
            <v>4.2499999999999982E-2</v>
          </cell>
        </row>
        <row r="66">
          <cell r="G66" t="str">
            <v>Human Resources</v>
          </cell>
          <cell r="K66" t="str">
            <v>Actual</v>
          </cell>
          <cell r="L66">
            <v>1</v>
          </cell>
          <cell r="M66">
            <v>1.0449999999999999</v>
          </cell>
          <cell r="N66">
            <v>4.4999999999999929E-2</v>
          </cell>
        </row>
        <row r="67">
          <cell r="G67" t="str">
            <v>Human Resources</v>
          </cell>
          <cell r="K67" t="str">
            <v>Actual</v>
          </cell>
          <cell r="L67">
            <v>1</v>
          </cell>
          <cell r="M67">
            <v>1.05</v>
          </cell>
          <cell r="N67">
            <v>5.0000000000000044E-2</v>
          </cell>
        </row>
        <row r="68">
          <cell r="G68" t="str">
            <v>Human Resources</v>
          </cell>
          <cell r="K68" t="str">
            <v>Latest Estimate</v>
          </cell>
          <cell r="L68">
            <v>1</v>
          </cell>
          <cell r="M68">
            <v>1.0325</v>
          </cell>
          <cell r="N68">
            <v>3.2499999999999973E-2</v>
          </cell>
        </row>
        <row r="69">
          <cell r="G69" t="str">
            <v>Human Resources</v>
          </cell>
          <cell r="K69" t="str">
            <v>Forecast</v>
          </cell>
          <cell r="L69">
            <v>1</v>
          </cell>
          <cell r="M69">
            <v>1.0349999999999999</v>
          </cell>
          <cell r="N69">
            <v>3.499999999999992E-2</v>
          </cell>
        </row>
        <row r="70">
          <cell r="G70" t="str">
            <v>Human Resources</v>
          </cell>
          <cell r="K70" t="str">
            <v>Forecast</v>
          </cell>
          <cell r="L70">
            <v>1</v>
          </cell>
          <cell r="M70">
            <v>1.0375000000000001</v>
          </cell>
          <cell r="N70">
            <v>3.7500000000000089E-2</v>
          </cell>
        </row>
        <row r="71">
          <cell r="G71" t="str">
            <v>Human Resources</v>
          </cell>
          <cell r="K71" t="str">
            <v>Forecast</v>
          </cell>
          <cell r="L71">
            <v>1</v>
          </cell>
          <cell r="M71">
            <v>1.0425</v>
          </cell>
          <cell r="N71">
            <v>4.2499999999999982E-2</v>
          </cell>
        </row>
        <row r="72">
          <cell r="G72" t="str">
            <v>Human Resources</v>
          </cell>
          <cell r="K72" t="str">
            <v>Forecast</v>
          </cell>
          <cell r="L72">
            <v>1</v>
          </cell>
          <cell r="M72">
            <v>1.0475000000000001</v>
          </cell>
          <cell r="N72">
            <v>4.7500000000000098E-2</v>
          </cell>
        </row>
        <row r="73">
          <cell r="G73" t="str">
            <v>Human Resources</v>
          </cell>
          <cell r="K73" t="str">
            <v>Forecast</v>
          </cell>
          <cell r="L73">
            <v>1</v>
          </cell>
          <cell r="M73">
            <v>1.0549999999999999</v>
          </cell>
          <cell r="N73">
            <v>5.4999999999999938E-2</v>
          </cell>
        </row>
        <row r="74">
          <cell r="G74" t="str">
            <v>Human Resources</v>
          </cell>
          <cell r="K74" t="str">
            <v>Actual</v>
          </cell>
          <cell r="L74">
            <v>0.41670000000000001</v>
          </cell>
          <cell r="M74">
            <v>0.43070000000000003</v>
          </cell>
          <cell r="N74">
            <v>1.4000000000000012E-2</v>
          </cell>
        </row>
        <row r="75">
          <cell r="G75" t="str">
            <v>Human Resources</v>
          </cell>
          <cell r="K75" t="str">
            <v>Actual</v>
          </cell>
          <cell r="L75">
            <v>0.41670000000000001</v>
          </cell>
          <cell r="M75">
            <v>0.43169999999999997</v>
          </cell>
          <cell r="N75">
            <v>1.4999999999999958E-2</v>
          </cell>
        </row>
        <row r="76">
          <cell r="G76" t="str">
            <v>Human Resources</v>
          </cell>
          <cell r="K76" t="str">
            <v>Actual</v>
          </cell>
          <cell r="L76">
            <v>0.41670000000000001</v>
          </cell>
          <cell r="M76">
            <v>0.43269999999999997</v>
          </cell>
          <cell r="N76">
            <v>1.5999999999999959E-2</v>
          </cell>
        </row>
        <row r="77">
          <cell r="G77" t="str">
            <v>Human Resources</v>
          </cell>
          <cell r="K77" t="str">
            <v>Actual</v>
          </cell>
          <cell r="L77">
            <v>0.41670000000000001</v>
          </cell>
          <cell r="M77">
            <v>0.43369999999999997</v>
          </cell>
          <cell r="N77">
            <v>1.699999999999996E-2</v>
          </cell>
        </row>
        <row r="78">
          <cell r="G78" t="str">
            <v>Human Resources</v>
          </cell>
          <cell r="K78" t="str">
            <v>Actual</v>
          </cell>
          <cell r="L78">
            <v>0.41670000000000001</v>
          </cell>
          <cell r="M78">
            <v>0.43469999999999998</v>
          </cell>
          <cell r="N78">
            <v>1.799999999999996E-2</v>
          </cell>
        </row>
        <row r="79">
          <cell r="G79" t="str">
            <v>Human Resources</v>
          </cell>
          <cell r="K79" t="str">
            <v>Actual</v>
          </cell>
          <cell r="L79">
            <v>0.41649999999999998</v>
          </cell>
          <cell r="M79">
            <v>0.4365</v>
          </cell>
          <cell r="N79">
            <v>2.0000000000000018E-2</v>
          </cell>
        </row>
        <row r="80">
          <cell r="G80" t="str">
            <v>Human Resources</v>
          </cell>
          <cell r="K80" t="str">
            <v>Latest Estimate</v>
          </cell>
          <cell r="L80">
            <v>0.41670000000000001</v>
          </cell>
          <cell r="M80">
            <v>0.42970000000000003</v>
          </cell>
          <cell r="N80">
            <v>1.3000000000000012E-2</v>
          </cell>
        </row>
        <row r="81">
          <cell r="G81" t="str">
            <v>Human Resources</v>
          </cell>
          <cell r="K81" t="str">
            <v>Forecast</v>
          </cell>
          <cell r="L81">
            <v>0.41670000000000001</v>
          </cell>
          <cell r="M81">
            <v>0.43070000000000003</v>
          </cell>
          <cell r="N81">
            <v>1.4000000000000012E-2</v>
          </cell>
        </row>
        <row r="82">
          <cell r="G82" t="str">
            <v>Human Resources</v>
          </cell>
          <cell r="K82" t="str">
            <v>Forecast</v>
          </cell>
          <cell r="L82">
            <v>0.41670000000000001</v>
          </cell>
          <cell r="M82">
            <v>0.43169999999999997</v>
          </cell>
          <cell r="N82">
            <v>1.4999999999999958E-2</v>
          </cell>
        </row>
        <row r="83">
          <cell r="G83" t="str">
            <v>Human Resources</v>
          </cell>
          <cell r="K83" t="str">
            <v>Forecast</v>
          </cell>
          <cell r="L83">
            <v>0.41670000000000001</v>
          </cell>
          <cell r="M83">
            <v>0.43369999999999997</v>
          </cell>
          <cell r="N83">
            <v>1.699999999999996E-2</v>
          </cell>
        </row>
        <row r="84">
          <cell r="G84" t="str">
            <v>Human Resources</v>
          </cell>
          <cell r="K84" t="str">
            <v>Forecast</v>
          </cell>
          <cell r="L84">
            <v>0.41670000000000001</v>
          </cell>
          <cell r="M84">
            <v>0.43569999999999998</v>
          </cell>
          <cell r="N84">
            <v>1.8999999999999961E-2</v>
          </cell>
        </row>
        <row r="85">
          <cell r="G85" t="str">
            <v>Human Resources</v>
          </cell>
          <cell r="K85" t="str">
            <v>Forecast</v>
          </cell>
          <cell r="L85">
            <v>0.41649999999999998</v>
          </cell>
          <cell r="M85">
            <v>0.4385</v>
          </cell>
          <cell r="N85">
            <v>2.200000000000002E-2</v>
          </cell>
        </row>
        <row r="86">
          <cell r="G86" t="str">
            <v>Human Resources</v>
          </cell>
          <cell r="K86" t="str">
            <v>Actual</v>
          </cell>
          <cell r="L86">
            <v>0.25</v>
          </cell>
          <cell r="M86">
            <v>0.25700000000000001</v>
          </cell>
          <cell r="N86">
            <v>7.0000000000000062E-3</v>
          </cell>
        </row>
        <row r="87">
          <cell r="G87" t="str">
            <v>Human Resources</v>
          </cell>
          <cell r="K87" t="str">
            <v>Actual</v>
          </cell>
          <cell r="L87">
            <v>0.25</v>
          </cell>
          <cell r="M87">
            <v>0.25750000000000001</v>
          </cell>
          <cell r="N87">
            <v>7.5000000000000067E-3</v>
          </cell>
        </row>
        <row r="88">
          <cell r="G88" t="str">
            <v>Human Resources</v>
          </cell>
          <cell r="K88" t="str">
            <v>Actual</v>
          </cell>
          <cell r="L88">
            <v>0.25</v>
          </cell>
          <cell r="M88">
            <v>0.25800000000000001</v>
          </cell>
          <cell r="N88">
            <v>8.0000000000000071E-3</v>
          </cell>
        </row>
        <row r="89">
          <cell r="G89" t="str">
            <v>Human Resources</v>
          </cell>
          <cell r="K89" t="str">
            <v>Actual</v>
          </cell>
          <cell r="L89">
            <v>0.25</v>
          </cell>
          <cell r="M89">
            <v>0.25850000000000001</v>
          </cell>
          <cell r="N89">
            <v>8.5000000000000075E-3</v>
          </cell>
        </row>
        <row r="90">
          <cell r="G90" t="str">
            <v>Human Resources</v>
          </cell>
          <cell r="K90" t="str">
            <v>Actual</v>
          </cell>
          <cell r="L90">
            <v>0.25</v>
          </cell>
          <cell r="M90">
            <v>0.25900000000000001</v>
          </cell>
          <cell r="N90">
            <v>9.000000000000008E-3</v>
          </cell>
        </row>
        <row r="91">
          <cell r="G91" t="str">
            <v>Human Resources</v>
          </cell>
          <cell r="K91" t="str">
            <v>Actual</v>
          </cell>
          <cell r="L91">
            <v>0.25</v>
          </cell>
          <cell r="M91">
            <v>0.26</v>
          </cell>
          <cell r="N91">
            <v>1.0000000000000009E-2</v>
          </cell>
        </row>
        <row r="92">
          <cell r="G92" t="str">
            <v>Human Resources</v>
          </cell>
          <cell r="K92" t="str">
            <v>Latest Estimate</v>
          </cell>
          <cell r="L92">
            <v>0.25</v>
          </cell>
          <cell r="M92">
            <v>0.25650000000000001</v>
          </cell>
          <cell r="N92">
            <v>6.5000000000000058E-3</v>
          </cell>
        </row>
        <row r="93">
          <cell r="G93" t="str">
            <v>Human Resources</v>
          </cell>
          <cell r="K93" t="str">
            <v>Forecast</v>
          </cell>
          <cell r="L93">
            <v>0.25</v>
          </cell>
          <cell r="M93">
            <v>0.25700000000000001</v>
          </cell>
          <cell r="N93">
            <v>7.0000000000000062E-3</v>
          </cell>
        </row>
        <row r="94">
          <cell r="G94" t="str">
            <v>Human Resources</v>
          </cell>
          <cell r="K94" t="str">
            <v>Forecast</v>
          </cell>
          <cell r="L94">
            <v>0.25</v>
          </cell>
          <cell r="M94">
            <v>0.25750000000000001</v>
          </cell>
          <cell r="N94">
            <v>7.5000000000000067E-3</v>
          </cell>
        </row>
        <row r="95">
          <cell r="G95" t="str">
            <v>Human Resources</v>
          </cell>
          <cell r="K95" t="str">
            <v>Forecast</v>
          </cell>
          <cell r="L95">
            <v>0.25</v>
          </cell>
          <cell r="M95">
            <v>0.25850000000000001</v>
          </cell>
          <cell r="N95">
            <v>8.5000000000000075E-3</v>
          </cell>
        </row>
        <row r="96">
          <cell r="G96" t="str">
            <v>Human Resources</v>
          </cell>
          <cell r="K96" t="str">
            <v>Forecast</v>
          </cell>
          <cell r="L96">
            <v>0.25</v>
          </cell>
          <cell r="M96">
            <v>0.25950000000000001</v>
          </cell>
          <cell r="N96">
            <v>9.5000000000000084E-3</v>
          </cell>
        </row>
        <row r="97">
          <cell r="G97" t="str">
            <v>Human Resources</v>
          </cell>
          <cell r="K97" t="str">
            <v>Forecast</v>
          </cell>
          <cell r="L97">
            <v>0.25</v>
          </cell>
          <cell r="M97">
            <v>0.26100000000000001</v>
          </cell>
          <cell r="N97">
            <v>1.100000000000001E-2</v>
          </cell>
        </row>
        <row r="98">
          <cell r="G98" t="str">
            <v>Human Resources</v>
          </cell>
          <cell r="K98" t="str">
            <v>Actual</v>
          </cell>
          <cell r="L98">
            <v>0.15</v>
          </cell>
          <cell r="M98">
            <v>0.17799999999999999</v>
          </cell>
          <cell r="N98">
            <v>2.7999999999999997E-2</v>
          </cell>
        </row>
        <row r="99">
          <cell r="G99" t="str">
            <v>Human Resources</v>
          </cell>
          <cell r="K99" t="str">
            <v>Actual</v>
          </cell>
          <cell r="L99">
            <v>0.15</v>
          </cell>
          <cell r="M99">
            <v>0.18</v>
          </cell>
          <cell r="N99">
            <v>0.03</v>
          </cell>
        </row>
        <row r="100">
          <cell r="G100" t="str">
            <v>Human Resources</v>
          </cell>
          <cell r="K100" t="str">
            <v>Actual</v>
          </cell>
          <cell r="L100">
            <v>0.15</v>
          </cell>
          <cell r="M100">
            <v>0.182</v>
          </cell>
          <cell r="N100">
            <v>3.2000000000000001E-2</v>
          </cell>
        </row>
        <row r="101">
          <cell r="G101" t="str">
            <v>Human Resources</v>
          </cell>
          <cell r="K101" t="str">
            <v>Actual</v>
          </cell>
          <cell r="L101">
            <v>0.15</v>
          </cell>
          <cell r="M101">
            <v>0.184</v>
          </cell>
          <cell r="N101">
            <v>3.4000000000000002E-2</v>
          </cell>
        </row>
        <row r="102">
          <cell r="G102" t="str">
            <v>Human Resources</v>
          </cell>
          <cell r="K102" t="str">
            <v>Actual</v>
          </cell>
          <cell r="L102">
            <v>0.15</v>
          </cell>
          <cell r="M102">
            <v>0.186</v>
          </cell>
          <cell r="N102">
            <v>3.6000000000000004E-2</v>
          </cell>
        </row>
        <row r="103">
          <cell r="G103" t="str">
            <v>Human Resources</v>
          </cell>
          <cell r="K103" t="str">
            <v>Actual</v>
          </cell>
          <cell r="L103">
            <v>0.15</v>
          </cell>
          <cell r="M103">
            <v>0.19</v>
          </cell>
          <cell r="N103">
            <v>4.0000000000000008E-2</v>
          </cell>
        </row>
        <row r="104">
          <cell r="G104" t="str">
            <v>Human Resources</v>
          </cell>
          <cell r="K104" t="str">
            <v>Latest Estimate</v>
          </cell>
          <cell r="L104">
            <v>0.15</v>
          </cell>
          <cell r="M104">
            <v>0.1565</v>
          </cell>
          <cell r="N104">
            <v>6.5000000000000058E-3</v>
          </cell>
        </row>
        <row r="105">
          <cell r="G105" t="str">
            <v>Human Resources</v>
          </cell>
          <cell r="K105" t="str">
            <v>Forecast</v>
          </cell>
          <cell r="L105">
            <v>0.15</v>
          </cell>
          <cell r="M105">
            <v>0.157</v>
          </cell>
          <cell r="N105">
            <v>7.0000000000000062E-3</v>
          </cell>
        </row>
        <row r="106">
          <cell r="G106" t="str">
            <v>Human Resources</v>
          </cell>
          <cell r="K106" t="str">
            <v>Forecast</v>
          </cell>
          <cell r="L106">
            <v>0.15</v>
          </cell>
          <cell r="M106">
            <v>0.1575</v>
          </cell>
          <cell r="N106">
            <v>7.5000000000000067E-3</v>
          </cell>
        </row>
        <row r="107">
          <cell r="G107" t="str">
            <v>Human Resources</v>
          </cell>
          <cell r="K107" t="str">
            <v>Forecast</v>
          </cell>
          <cell r="L107">
            <v>0.15</v>
          </cell>
          <cell r="M107">
            <v>0.1585</v>
          </cell>
          <cell r="N107">
            <v>8.5000000000000075E-3</v>
          </cell>
        </row>
        <row r="108">
          <cell r="G108" t="str">
            <v>Human Resources</v>
          </cell>
          <cell r="K108" t="str">
            <v>Forecast</v>
          </cell>
          <cell r="L108">
            <v>0.15</v>
          </cell>
          <cell r="M108">
            <v>0.1595</v>
          </cell>
          <cell r="N108">
            <v>9.5000000000000084E-3</v>
          </cell>
        </row>
        <row r="109">
          <cell r="G109" t="str">
            <v>Human Resources</v>
          </cell>
          <cell r="K109" t="str">
            <v>Forecast</v>
          </cell>
          <cell r="L109">
            <v>0.15</v>
          </cell>
          <cell r="M109">
            <v>0.161</v>
          </cell>
          <cell r="N109">
            <v>1.100000000000001E-2</v>
          </cell>
        </row>
        <row r="110">
          <cell r="G110" t="str">
            <v>Human Resources</v>
          </cell>
          <cell r="K110" t="str">
            <v>Actual</v>
          </cell>
          <cell r="L110">
            <v>0.1</v>
          </cell>
          <cell r="M110">
            <v>0.114</v>
          </cell>
          <cell r="N110">
            <v>1.3999999999999999E-2</v>
          </cell>
        </row>
        <row r="111">
          <cell r="G111" t="str">
            <v>Human Resources</v>
          </cell>
          <cell r="K111" t="str">
            <v>Actual</v>
          </cell>
          <cell r="L111">
            <v>0.1</v>
          </cell>
          <cell r="M111">
            <v>0.115</v>
          </cell>
          <cell r="N111">
            <v>1.4999999999999999E-2</v>
          </cell>
        </row>
        <row r="112">
          <cell r="G112" t="str">
            <v>Human Resources</v>
          </cell>
          <cell r="K112" t="str">
            <v>Actual</v>
          </cell>
          <cell r="L112">
            <v>0.1</v>
          </cell>
          <cell r="M112">
            <v>0.11600000000000001</v>
          </cell>
          <cell r="N112">
            <v>1.6E-2</v>
          </cell>
        </row>
        <row r="113">
          <cell r="G113" t="str">
            <v>Human Resources</v>
          </cell>
          <cell r="K113" t="str">
            <v>Actual</v>
          </cell>
          <cell r="L113">
            <v>0.1</v>
          </cell>
          <cell r="M113">
            <v>0.11700000000000001</v>
          </cell>
          <cell r="N113">
            <v>1.7000000000000001E-2</v>
          </cell>
        </row>
        <row r="114">
          <cell r="G114" t="str">
            <v>Human Resources</v>
          </cell>
          <cell r="K114" t="str">
            <v>Actual</v>
          </cell>
          <cell r="L114">
            <v>0.1</v>
          </cell>
          <cell r="M114">
            <v>0.11799999999999999</v>
          </cell>
          <cell r="N114">
            <v>1.7999999999999988E-2</v>
          </cell>
        </row>
        <row r="115">
          <cell r="G115" t="str">
            <v>Human Resources</v>
          </cell>
          <cell r="K115" t="str">
            <v>Actual</v>
          </cell>
          <cell r="L115">
            <v>0.1</v>
          </cell>
          <cell r="M115">
            <v>0.12</v>
          </cell>
          <cell r="N115">
            <v>1.999999999999999E-2</v>
          </cell>
        </row>
        <row r="116">
          <cell r="G116" t="str">
            <v>Human Resources</v>
          </cell>
          <cell r="K116" t="str">
            <v>Latest Estimate</v>
          </cell>
          <cell r="L116">
            <v>0.1</v>
          </cell>
          <cell r="M116">
            <v>0.1065</v>
          </cell>
          <cell r="N116">
            <v>6.4999999999999919E-3</v>
          </cell>
        </row>
        <row r="117">
          <cell r="G117" t="str">
            <v>Human Resources</v>
          </cell>
          <cell r="K117" t="str">
            <v>Forecast</v>
          </cell>
          <cell r="L117">
            <v>0.1</v>
          </cell>
          <cell r="M117">
            <v>0.107</v>
          </cell>
          <cell r="N117">
            <v>6.9999999999999923E-3</v>
          </cell>
        </row>
        <row r="118">
          <cell r="G118" t="str">
            <v>Human Resources</v>
          </cell>
          <cell r="K118" t="str">
            <v>Forecast</v>
          </cell>
          <cell r="L118">
            <v>0.1</v>
          </cell>
          <cell r="M118">
            <v>0.1075</v>
          </cell>
          <cell r="N118">
            <v>7.4999999999999928E-3</v>
          </cell>
        </row>
        <row r="119">
          <cell r="G119" t="str">
            <v>Human Resources</v>
          </cell>
          <cell r="K119" t="str">
            <v>Forecast</v>
          </cell>
          <cell r="L119">
            <v>0.1</v>
          </cell>
          <cell r="M119">
            <v>0.1085</v>
          </cell>
          <cell r="N119">
            <v>8.4999999999999937E-3</v>
          </cell>
        </row>
        <row r="120">
          <cell r="G120" t="str">
            <v>Human Resources</v>
          </cell>
          <cell r="K120" t="str">
            <v>Forecast</v>
          </cell>
          <cell r="L120">
            <v>0.1</v>
          </cell>
          <cell r="M120">
            <v>0.1095</v>
          </cell>
          <cell r="N120">
            <v>9.4999999999999946E-3</v>
          </cell>
        </row>
        <row r="121">
          <cell r="G121" t="str">
            <v>Human Resources</v>
          </cell>
          <cell r="K121" t="str">
            <v>Forecast</v>
          </cell>
          <cell r="L121">
            <v>0.1</v>
          </cell>
          <cell r="M121">
            <v>0.111</v>
          </cell>
          <cell r="N121">
            <v>1.0999999999999996E-2</v>
          </cell>
        </row>
        <row r="122">
          <cell r="G122" t="str">
            <v>Human Resources</v>
          </cell>
          <cell r="K122" t="str">
            <v>Actual</v>
          </cell>
          <cell r="L122">
            <v>0.16669999999999999</v>
          </cell>
          <cell r="M122">
            <v>0.19470000000000001</v>
          </cell>
          <cell r="N122">
            <v>2.8000000000000025E-2</v>
          </cell>
        </row>
        <row r="123">
          <cell r="G123" t="str">
            <v>Human Resources</v>
          </cell>
          <cell r="K123" t="str">
            <v>Actual</v>
          </cell>
          <cell r="L123">
            <v>0.16669999999999999</v>
          </cell>
          <cell r="M123">
            <v>0.19670000000000001</v>
          </cell>
          <cell r="N123">
            <v>3.0000000000000027E-2</v>
          </cell>
        </row>
        <row r="124">
          <cell r="G124" t="str">
            <v>Human Resources</v>
          </cell>
          <cell r="K124" t="str">
            <v>Actual</v>
          </cell>
          <cell r="L124">
            <v>0.16669999999999999</v>
          </cell>
          <cell r="M124">
            <v>0.19869999999999999</v>
          </cell>
          <cell r="N124">
            <v>3.2000000000000001E-2</v>
          </cell>
        </row>
        <row r="125">
          <cell r="G125" t="str">
            <v>Human Resources</v>
          </cell>
          <cell r="K125" t="str">
            <v>Actual</v>
          </cell>
          <cell r="L125">
            <v>0.16669999999999999</v>
          </cell>
          <cell r="M125">
            <v>0.20069999999999999</v>
          </cell>
          <cell r="N125">
            <v>3.4000000000000002E-2</v>
          </cell>
        </row>
        <row r="126">
          <cell r="G126" t="str">
            <v>Human Resources</v>
          </cell>
          <cell r="K126" t="str">
            <v>Actual</v>
          </cell>
          <cell r="L126">
            <v>0.16669999999999999</v>
          </cell>
          <cell r="M126">
            <v>0.20269999999999999</v>
          </cell>
          <cell r="N126">
            <v>3.6000000000000004E-2</v>
          </cell>
        </row>
        <row r="127">
          <cell r="G127" t="str">
            <v>Human Resources</v>
          </cell>
          <cell r="K127" t="str">
            <v>Actual</v>
          </cell>
          <cell r="L127">
            <v>0.16650000000000001</v>
          </cell>
          <cell r="M127">
            <v>0.20649999999999999</v>
          </cell>
          <cell r="N127">
            <v>3.999999999999998E-2</v>
          </cell>
        </row>
        <row r="128">
          <cell r="G128" t="str">
            <v>Human Resources</v>
          </cell>
          <cell r="K128" t="str">
            <v>Latest Estimate</v>
          </cell>
          <cell r="L128">
            <v>0.16669999999999999</v>
          </cell>
          <cell r="M128">
            <v>0.1797</v>
          </cell>
          <cell r="N128">
            <v>1.3000000000000012E-2</v>
          </cell>
        </row>
        <row r="129">
          <cell r="G129" t="str">
            <v>Human Resources</v>
          </cell>
          <cell r="K129" t="str">
            <v>Forecast</v>
          </cell>
          <cell r="L129">
            <v>0.16669999999999999</v>
          </cell>
          <cell r="M129">
            <v>0.1807</v>
          </cell>
          <cell r="N129">
            <v>1.4000000000000012E-2</v>
          </cell>
        </row>
        <row r="130">
          <cell r="G130" t="str">
            <v>Human Resources</v>
          </cell>
          <cell r="K130" t="str">
            <v>Forecast</v>
          </cell>
          <cell r="L130">
            <v>0.16669999999999999</v>
          </cell>
          <cell r="M130">
            <v>0.1817</v>
          </cell>
          <cell r="N130">
            <v>1.5000000000000013E-2</v>
          </cell>
        </row>
        <row r="131">
          <cell r="G131" t="str">
            <v>Human Resources</v>
          </cell>
          <cell r="K131" t="str">
            <v>Forecast</v>
          </cell>
          <cell r="L131">
            <v>0.16669999999999999</v>
          </cell>
          <cell r="M131">
            <v>0.1837</v>
          </cell>
          <cell r="N131">
            <v>1.7000000000000015E-2</v>
          </cell>
        </row>
        <row r="132">
          <cell r="G132" t="str">
            <v>Human Resources</v>
          </cell>
          <cell r="K132" t="str">
            <v>Forecast</v>
          </cell>
          <cell r="L132">
            <v>0.16669999999999999</v>
          </cell>
          <cell r="M132">
            <v>0.1857</v>
          </cell>
          <cell r="N132">
            <v>1.9000000000000017E-2</v>
          </cell>
        </row>
        <row r="133">
          <cell r="G133" t="str">
            <v>Human Resources</v>
          </cell>
          <cell r="K133" t="str">
            <v>Forecast</v>
          </cell>
          <cell r="L133">
            <v>0.16650000000000001</v>
          </cell>
          <cell r="M133">
            <v>0.1885</v>
          </cell>
          <cell r="N133">
            <v>2.1999999999999992E-2</v>
          </cell>
        </row>
        <row r="134">
          <cell r="G134" t="str">
            <v>Human Resources</v>
          </cell>
          <cell r="K134" t="str">
            <v>Actual</v>
          </cell>
          <cell r="L134">
            <v>0.26669999999999999</v>
          </cell>
          <cell r="M134">
            <v>0.29470000000000002</v>
          </cell>
          <cell r="N134">
            <v>2.8000000000000025E-2</v>
          </cell>
        </row>
        <row r="135">
          <cell r="G135" t="str">
            <v>Human Resources</v>
          </cell>
          <cell r="K135" t="str">
            <v>Actual</v>
          </cell>
          <cell r="L135">
            <v>0.26669999999999999</v>
          </cell>
          <cell r="M135">
            <v>0.29670000000000002</v>
          </cell>
          <cell r="N135">
            <v>3.0000000000000027E-2</v>
          </cell>
        </row>
        <row r="136">
          <cell r="G136" t="str">
            <v>Human Resources</v>
          </cell>
          <cell r="K136" t="str">
            <v>Actual</v>
          </cell>
          <cell r="L136">
            <v>0.26669999999999999</v>
          </cell>
          <cell r="M136">
            <v>0.29870000000000002</v>
          </cell>
          <cell r="N136">
            <v>3.2000000000000028E-2</v>
          </cell>
        </row>
        <row r="137">
          <cell r="G137" t="str">
            <v>Human Resources</v>
          </cell>
          <cell r="K137" t="str">
            <v>Actual</v>
          </cell>
          <cell r="L137">
            <v>0.26669999999999999</v>
          </cell>
          <cell r="M137">
            <v>0.30070000000000002</v>
          </cell>
          <cell r="N137">
            <v>3.400000000000003E-2</v>
          </cell>
        </row>
        <row r="138">
          <cell r="G138" t="str">
            <v>Human Resources</v>
          </cell>
          <cell r="K138" t="str">
            <v>Actual</v>
          </cell>
          <cell r="L138">
            <v>0.26669999999999999</v>
          </cell>
          <cell r="M138">
            <v>0.30270000000000002</v>
          </cell>
          <cell r="N138">
            <v>3.6000000000000032E-2</v>
          </cell>
        </row>
        <row r="139">
          <cell r="G139" t="str">
            <v>Human Resources</v>
          </cell>
          <cell r="K139" t="str">
            <v>Actual</v>
          </cell>
          <cell r="L139">
            <v>0.26650000000000001</v>
          </cell>
          <cell r="M139">
            <v>0.30649999999999999</v>
          </cell>
          <cell r="N139">
            <v>3.999999999999998E-2</v>
          </cell>
        </row>
        <row r="140">
          <cell r="G140" t="str">
            <v>Human Resources</v>
          </cell>
          <cell r="K140" t="str">
            <v>Latest Estimate</v>
          </cell>
          <cell r="L140">
            <v>0.26669999999999999</v>
          </cell>
          <cell r="M140">
            <v>0.2797</v>
          </cell>
          <cell r="N140">
            <v>1.3000000000000012E-2</v>
          </cell>
        </row>
        <row r="141">
          <cell r="G141" t="str">
            <v>Human Resources</v>
          </cell>
          <cell r="K141" t="str">
            <v>Forecast</v>
          </cell>
          <cell r="L141">
            <v>0.26669999999999999</v>
          </cell>
          <cell r="M141">
            <v>0.28070000000000001</v>
          </cell>
          <cell r="N141">
            <v>1.4000000000000012E-2</v>
          </cell>
        </row>
        <row r="142">
          <cell r="G142" t="str">
            <v>Human Resources</v>
          </cell>
          <cell r="K142" t="str">
            <v>Forecast</v>
          </cell>
          <cell r="L142">
            <v>0.26669999999999999</v>
          </cell>
          <cell r="M142">
            <v>0.28170000000000001</v>
          </cell>
          <cell r="N142">
            <v>1.5000000000000013E-2</v>
          </cell>
        </row>
        <row r="143">
          <cell r="G143" t="str">
            <v>Human Resources</v>
          </cell>
          <cell r="K143" t="str">
            <v>Forecast</v>
          </cell>
          <cell r="L143">
            <v>0.26669999999999999</v>
          </cell>
          <cell r="M143">
            <v>0.28370000000000001</v>
          </cell>
          <cell r="N143">
            <v>1.7000000000000015E-2</v>
          </cell>
        </row>
        <row r="144">
          <cell r="G144" t="str">
            <v>Human Resources</v>
          </cell>
          <cell r="K144" t="str">
            <v>Forecast</v>
          </cell>
          <cell r="L144">
            <v>0.26669999999999999</v>
          </cell>
          <cell r="M144">
            <v>0.28570000000000001</v>
          </cell>
          <cell r="N144">
            <v>1.9000000000000017E-2</v>
          </cell>
        </row>
        <row r="145">
          <cell r="G145" t="str">
            <v>Human Resources</v>
          </cell>
          <cell r="K145" t="str">
            <v>Forecast</v>
          </cell>
          <cell r="L145">
            <v>0.26650000000000001</v>
          </cell>
          <cell r="M145">
            <v>0.28849999999999998</v>
          </cell>
          <cell r="N145">
            <v>2.1999999999999964E-2</v>
          </cell>
        </row>
        <row r="146">
          <cell r="G146" t="str">
            <v>Human Resources</v>
          </cell>
          <cell r="K146" t="str">
            <v>Actual</v>
          </cell>
          <cell r="L146">
            <v>0.15</v>
          </cell>
          <cell r="M146">
            <v>0.16400000000000001</v>
          </cell>
          <cell r="N146">
            <v>1.4000000000000012E-2</v>
          </cell>
        </row>
        <row r="147">
          <cell r="G147" t="str">
            <v>Human Resources</v>
          </cell>
          <cell r="K147" t="str">
            <v>Actual</v>
          </cell>
          <cell r="L147">
            <v>0.15</v>
          </cell>
          <cell r="M147">
            <v>0.16500000000000001</v>
          </cell>
          <cell r="N147">
            <v>1.5000000000000013E-2</v>
          </cell>
        </row>
        <row r="148">
          <cell r="G148" t="str">
            <v>Human Resources</v>
          </cell>
          <cell r="K148" t="str">
            <v>Actual</v>
          </cell>
          <cell r="L148">
            <v>0.15</v>
          </cell>
          <cell r="M148">
            <v>0.16600000000000001</v>
          </cell>
          <cell r="N148">
            <v>1.6000000000000014E-2</v>
          </cell>
        </row>
        <row r="149">
          <cell r="G149" t="str">
            <v>Human Resources</v>
          </cell>
          <cell r="K149" t="str">
            <v>Actual</v>
          </cell>
          <cell r="L149">
            <v>0.15</v>
          </cell>
          <cell r="M149">
            <v>0.16700000000000001</v>
          </cell>
          <cell r="N149">
            <v>1.7000000000000015E-2</v>
          </cell>
        </row>
        <row r="150">
          <cell r="G150" t="str">
            <v>Human Resources</v>
          </cell>
          <cell r="K150" t="str">
            <v>Actual</v>
          </cell>
          <cell r="L150">
            <v>0.15</v>
          </cell>
          <cell r="M150">
            <v>0.16800000000000001</v>
          </cell>
          <cell r="N150">
            <v>1.8000000000000016E-2</v>
          </cell>
        </row>
        <row r="151">
          <cell r="G151" t="str">
            <v>Human Resources</v>
          </cell>
          <cell r="K151" t="str">
            <v>Actual</v>
          </cell>
          <cell r="L151">
            <v>0.15</v>
          </cell>
          <cell r="M151">
            <v>0.17</v>
          </cell>
          <cell r="N151">
            <v>2.0000000000000018E-2</v>
          </cell>
        </row>
        <row r="152">
          <cell r="G152" t="str">
            <v>Human Resources</v>
          </cell>
          <cell r="K152" t="str">
            <v>Latest Estimate</v>
          </cell>
          <cell r="L152">
            <v>0.15</v>
          </cell>
          <cell r="M152">
            <v>0.16300000000000001</v>
          </cell>
          <cell r="N152">
            <v>1.3000000000000012E-2</v>
          </cell>
        </row>
        <row r="153">
          <cell r="G153" t="str">
            <v>Human Resources</v>
          </cell>
          <cell r="K153" t="str">
            <v>Forecast</v>
          </cell>
          <cell r="L153">
            <v>0.15</v>
          </cell>
          <cell r="M153">
            <v>0.16400000000000001</v>
          </cell>
          <cell r="N153">
            <v>1.4000000000000012E-2</v>
          </cell>
        </row>
        <row r="154">
          <cell r="G154" t="str">
            <v>Human Resources</v>
          </cell>
          <cell r="K154" t="str">
            <v>Forecast</v>
          </cell>
          <cell r="L154">
            <v>0.15</v>
          </cell>
          <cell r="M154">
            <v>0.16500000000000001</v>
          </cell>
          <cell r="N154">
            <v>1.5000000000000013E-2</v>
          </cell>
        </row>
        <row r="155">
          <cell r="G155" t="str">
            <v>Human Resources</v>
          </cell>
          <cell r="K155" t="str">
            <v>Forecast</v>
          </cell>
          <cell r="L155">
            <v>0.15</v>
          </cell>
          <cell r="M155">
            <v>0.16700000000000001</v>
          </cell>
          <cell r="N155">
            <v>1.7000000000000015E-2</v>
          </cell>
        </row>
        <row r="156">
          <cell r="G156" t="str">
            <v>Human Resources</v>
          </cell>
          <cell r="K156" t="str">
            <v>Forecast</v>
          </cell>
          <cell r="L156">
            <v>0.15</v>
          </cell>
          <cell r="M156">
            <v>0.16900000000000001</v>
          </cell>
          <cell r="N156">
            <v>1.9000000000000017E-2</v>
          </cell>
        </row>
        <row r="157">
          <cell r="G157" t="str">
            <v>Human Resources</v>
          </cell>
          <cell r="K157" t="str">
            <v>Forecast</v>
          </cell>
          <cell r="L157">
            <v>0.15</v>
          </cell>
          <cell r="M157">
            <v>0.17199999999999999</v>
          </cell>
          <cell r="N157">
            <v>2.1999999999999992E-2</v>
          </cell>
        </row>
        <row r="158">
          <cell r="G158" t="str">
            <v>Operations Suppliers</v>
          </cell>
          <cell r="K158" t="str">
            <v>Actual</v>
          </cell>
          <cell r="L158">
            <v>0.66669999999999996</v>
          </cell>
          <cell r="M158">
            <v>0.69469999999999998</v>
          </cell>
          <cell r="N158">
            <v>2.8000000000000025E-2</v>
          </cell>
        </row>
        <row r="159">
          <cell r="G159" t="str">
            <v>Operations Suppliers</v>
          </cell>
          <cell r="K159" t="str">
            <v>Actual</v>
          </cell>
          <cell r="L159">
            <v>0.66669999999999996</v>
          </cell>
          <cell r="M159">
            <v>0.69669999999999999</v>
          </cell>
          <cell r="N159">
            <v>3.0000000000000027E-2</v>
          </cell>
        </row>
        <row r="160">
          <cell r="G160" t="str">
            <v>Operations Suppliers</v>
          </cell>
          <cell r="K160" t="str">
            <v>Actual</v>
          </cell>
          <cell r="L160">
            <v>0.66669999999999996</v>
          </cell>
          <cell r="M160">
            <v>0.69869999999999999</v>
          </cell>
          <cell r="N160">
            <v>3.2000000000000028E-2</v>
          </cell>
        </row>
        <row r="161">
          <cell r="G161" t="str">
            <v>Operations Suppliers</v>
          </cell>
          <cell r="K161" t="str">
            <v>Actual</v>
          </cell>
          <cell r="L161">
            <v>0.66669999999999996</v>
          </cell>
          <cell r="M161">
            <v>0.70069999999999999</v>
          </cell>
          <cell r="N161">
            <v>3.400000000000003E-2</v>
          </cell>
        </row>
        <row r="162">
          <cell r="G162" t="str">
            <v>Operations Suppliers</v>
          </cell>
          <cell r="K162" t="str">
            <v>Actual</v>
          </cell>
          <cell r="L162">
            <v>0.66669999999999996</v>
          </cell>
          <cell r="M162">
            <v>0.70269999999999999</v>
          </cell>
          <cell r="N162">
            <v>3.6000000000000032E-2</v>
          </cell>
        </row>
        <row r="163">
          <cell r="G163" t="str">
            <v>Operations Suppliers</v>
          </cell>
          <cell r="K163" t="str">
            <v>Actual</v>
          </cell>
          <cell r="L163">
            <v>0.66649999999999998</v>
          </cell>
          <cell r="M163">
            <v>0.70650000000000002</v>
          </cell>
          <cell r="N163">
            <v>4.0000000000000036E-2</v>
          </cell>
        </row>
        <row r="164">
          <cell r="G164" t="str">
            <v>Operations Suppliers</v>
          </cell>
          <cell r="K164" t="str">
            <v>Latest Estimate</v>
          </cell>
          <cell r="L164">
            <v>0.66669999999999996</v>
          </cell>
          <cell r="M164">
            <v>0.67969999999999997</v>
          </cell>
          <cell r="N164">
            <v>1.3000000000000012E-2</v>
          </cell>
        </row>
        <row r="165">
          <cell r="G165" t="str">
            <v>Operations Suppliers</v>
          </cell>
          <cell r="K165" t="str">
            <v>Forecast</v>
          </cell>
          <cell r="L165">
            <v>0.66669999999999996</v>
          </cell>
          <cell r="M165">
            <v>0.68069999999999997</v>
          </cell>
          <cell r="N165">
            <v>1.4000000000000012E-2</v>
          </cell>
        </row>
        <row r="166">
          <cell r="G166" t="str">
            <v>Operations Suppliers</v>
          </cell>
          <cell r="K166" t="str">
            <v>Forecast</v>
          </cell>
          <cell r="L166">
            <v>0.66669999999999996</v>
          </cell>
          <cell r="M166">
            <v>0.68169999999999997</v>
          </cell>
          <cell r="N166">
            <v>1.5000000000000013E-2</v>
          </cell>
        </row>
        <row r="167">
          <cell r="G167" t="str">
            <v>Operations Suppliers</v>
          </cell>
          <cell r="K167" t="str">
            <v>Forecast</v>
          </cell>
          <cell r="L167">
            <v>0.66669999999999996</v>
          </cell>
          <cell r="M167">
            <v>0.68369999999999997</v>
          </cell>
          <cell r="N167">
            <v>1.7000000000000015E-2</v>
          </cell>
        </row>
        <row r="168">
          <cell r="G168" t="str">
            <v>Operations Suppliers</v>
          </cell>
          <cell r="K168" t="str">
            <v>Forecast</v>
          </cell>
          <cell r="L168">
            <v>0.66669999999999996</v>
          </cell>
          <cell r="M168">
            <v>0.68569999999999998</v>
          </cell>
          <cell r="N168">
            <v>1.9000000000000017E-2</v>
          </cell>
        </row>
        <row r="169">
          <cell r="G169" t="str">
            <v>Operations Suppliers</v>
          </cell>
          <cell r="K169" t="str">
            <v>Forecast</v>
          </cell>
          <cell r="L169">
            <v>0.66649999999999998</v>
          </cell>
          <cell r="M169">
            <v>0.6885</v>
          </cell>
          <cell r="N169">
            <v>2.200000000000002E-2</v>
          </cell>
        </row>
        <row r="170">
          <cell r="G170" t="str">
            <v>Operations Suppliers</v>
          </cell>
          <cell r="K170" t="str">
            <v>Actual</v>
          </cell>
          <cell r="L170">
            <v>0.5</v>
          </cell>
          <cell r="M170">
            <v>0.52100000000000002</v>
          </cell>
          <cell r="N170">
            <v>2.1000000000000019E-2</v>
          </cell>
        </row>
        <row r="171">
          <cell r="G171" t="str">
            <v>Operations Suppliers</v>
          </cell>
          <cell r="K171" t="str">
            <v>Actual</v>
          </cell>
          <cell r="L171">
            <v>0.5</v>
          </cell>
          <cell r="M171">
            <v>0.52249999999999996</v>
          </cell>
          <cell r="N171">
            <v>2.2499999999999964E-2</v>
          </cell>
        </row>
        <row r="172">
          <cell r="G172" t="str">
            <v>Operations Suppliers</v>
          </cell>
          <cell r="K172" t="str">
            <v>Actual</v>
          </cell>
          <cell r="L172">
            <v>0.5</v>
          </cell>
          <cell r="M172">
            <v>0.52400000000000002</v>
          </cell>
          <cell r="N172">
            <v>2.4000000000000021E-2</v>
          </cell>
        </row>
        <row r="173">
          <cell r="G173" t="str">
            <v>Operations Suppliers</v>
          </cell>
          <cell r="K173" t="str">
            <v>Actual</v>
          </cell>
          <cell r="L173">
            <v>0.5</v>
          </cell>
          <cell r="M173">
            <v>0.52549999999999997</v>
          </cell>
          <cell r="N173">
            <v>2.5499999999999967E-2</v>
          </cell>
        </row>
        <row r="174">
          <cell r="G174" t="str">
            <v>Operations Suppliers</v>
          </cell>
          <cell r="K174" t="str">
            <v>Actual</v>
          </cell>
          <cell r="L174">
            <v>0.5</v>
          </cell>
          <cell r="M174">
            <v>0.52700000000000002</v>
          </cell>
          <cell r="N174">
            <v>2.7000000000000024E-2</v>
          </cell>
        </row>
        <row r="175">
          <cell r="G175" t="str">
            <v>Operations Suppliers</v>
          </cell>
          <cell r="K175" t="str">
            <v>Actual</v>
          </cell>
          <cell r="L175">
            <v>0.5</v>
          </cell>
          <cell r="M175">
            <v>0.53</v>
          </cell>
          <cell r="N175">
            <v>3.0000000000000027E-2</v>
          </cell>
        </row>
        <row r="176">
          <cell r="G176" t="str">
            <v>Operations Suppliers</v>
          </cell>
          <cell r="K176" t="str">
            <v>Latest Estimate</v>
          </cell>
          <cell r="L176">
            <v>0.5</v>
          </cell>
          <cell r="M176">
            <v>0.51300000000000001</v>
          </cell>
          <cell r="N176">
            <v>1.3000000000000012E-2</v>
          </cell>
        </row>
        <row r="177">
          <cell r="G177" t="str">
            <v>Operations Suppliers</v>
          </cell>
          <cell r="K177" t="str">
            <v>Forecast</v>
          </cell>
          <cell r="L177">
            <v>0.5</v>
          </cell>
          <cell r="M177">
            <v>0.51400000000000001</v>
          </cell>
          <cell r="N177">
            <v>1.4000000000000012E-2</v>
          </cell>
        </row>
        <row r="178">
          <cell r="G178" t="str">
            <v>Operations Suppliers</v>
          </cell>
          <cell r="K178" t="str">
            <v>Forecast</v>
          </cell>
          <cell r="L178">
            <v>0.5</v>
          </cell>
          <cell r="M178">
            <v>0.51500000000000001</v>
          </cell>
          <cell r="N178">
            <v>1.5000000000000013E-2</v>
          </cell>
        </row>
        <row r="179">
          <cell r="G179" t="str">
            <v>Operations Suppliers</v>
          </cell>
          <cell r="K179" t="str">
            <v>Forecast</v>
          </cell>
          <cell r="L179">
            <v>0.5</v>
          </cell>
          <cell r="M179">
            <v>0.51700000000000002</v>
          </cell>
          <cell r="N179">
            <v>1.7000000000000015E-2</v>
          </cell>
        </row>
        <row r="180">
          <cell r="G180" t="str">
            <v>Operations Suppliers</v>
          </cell>
          <cell r="K180" t="str">
            <v>Forecast</v>
          </cell>
          <cell r="L180">
            <v>0.5</v>
          </cell>
          <cell r="M180">
            <v>0.51900000000000002</v>
          </cell>
          <cell r="N180">
            <v>1.9000000000000017E-2</v>
          </cell>
        </row>
        <row r="181">
          <cell r="G181" t="str">
            <v>Operations Suppliers</v>
          </cell>
          <cell r="K181" t="str">
            <v>Forecast</v>
          </cell>
          <cell r="L181">
            <v>0.5</v>
          </cell>
          <cell r="M181">
            <v>0.52200000000000002</v>
          </cell>
          <cell r="N181">
            <v>2.200000000000002E-2</v>
          </cell>
        </row>
        <row r="182">
          <cell r="G182" t="str">
            <v>Operations Suppliers</v>
          </cell>
          <cell r="K182" t="str">
            <v>Actual</v>
          </cell>
          <cell r="L182">
            <v>0.33329999999999999</v>
          </cell>
          <cell r="M182">
            <v>0.3543</v>
          </cell>
          <cell r="N182">
            <v>2.1000000000000019E-2</v>
          </cell>
        </row>
        <row r="183">
          <cell r="G183" t="str">
            <v>Operations Suppliers</v>
          </cell>
          <cell r="K183" t="str">
            <v>Actual</v>
          </cell>
          <cell r="L183">
            <v>0.33329999999999999</v>
          </cell>
          <cell r="M183">
            <v>0.35580000000000001</v>
          </cell>
          <cell r="N183">
            <v>2.250000000000002E-2</v>
          </cell>
        </row>
        <row r="184">
          <cell r="G184" t="str">
            <v>Operations Suppliers</v>
          </cell>
          <cell r="K184" t="str">
            <v>Actual</v>
          </cell>
          <cell r="L184">
            <v>0.33329999999999999</v>
          </cell>
          <cell r="M184">
            <v>0.35730000000000001</v>
          </cell>
          <cell r="N184">
            <v>2.4000000000000021E-2</v>
          </cell>
        </row>
        <row r="185">
          <cell r="G185" t="str">
            <v>Operations Suppliers</v>
          </cell>
          <cell r="K185" t="str">
            <v>Actual</v>
          </cell>
          <cell r="L185">
            <v>0.33329999999999999</v>
          </cell>
          <cell r="M185">
            <v>0.35880000000000001</v>
          </cell>
          <cell r="N185">
            <v>2.5500000000000023E-2</v>
          </cell>
        </row>
        <row r="186">
          <cell r="G186" t="str">
            <v>Operations Suppliers</v>
          </cell>
          <cell r="K186" t="str">
            <v>Actual</v>
          </cell>
          <cell r="L186">
            <v>0.33329999999999999</v>
          </cell>
          <cell r="M186">
            <v>0.36030000000000001</v>
          </cell>
          <cell r="N186">
            <v>2.7000000000000024E-2</v>
          </cell>
        </row>
        <row r="187">
          <cell r="G187" t="str">
            <v>Operations Suppliers</v>
          </cell>
          <cell r="K187" t="str">
            <v>Actual</v>
          </cell>
          <cell r="L187">
            <v>0.33350000000000002</v>
          </cell>
          <cell r="M187">
            <v>0.36349999999999999</v>
          </cell>
          <cell r="N187">
            <v>2.9999999999999971E-2</v>
          </cell>
        </row>
        <row r="188">
          <cell r="G188" t="str">
            <v>Operations Suppliers</v>
          </cell>
          <cell r="K188" t="str">
            <v>Latest Estimate</v>
          </cell>
          <cell r="L188">
            <v>0.33329999999999999</v>
          </cell>
          <cell r="M188">
            <v>0.3463</v>
          </cell>
          <cell r="N188">
            <v>1.3000000000000012E-2</v>
          </cell>
        </row>
        <row r="189">
          <cell r="G189" t="str">
            <v>Operations Suppliers</v>
          </cell>
          <cell r="K189" t="str">
            <v>Forecast</v>
          </cell>
          <cell r="L189">
            <v>0.33329999999999999</v>
          </cell>
          <cell r="M189">
            <v>0.3473</v>
          </cell>
          <cell r="N189">
            <v>1.4000000000000012E-2</v>
          </cell>
        </row>
        <row r="190">
          <cell r="G190" t="str">
            <v>Operations Suppliers</v>
          </cell>
          <cell r="K190" t="str">
            <v>Forecast</v>
          </cell>
          <cell r="L190">
            <v>0.33329999999999999</v>
          </cell>
          <cell r="M190">
            <v>0.3483</v>
          </cell>
          <cell r="N190">
            <v>1.5000000000000013E-2</v>
          </cell>
        </row>
        <row r="191">
          <cell r="G191" t="str">
            <v>Operations Suppliers</v>
          </cell>
          <cell r="K191" t="str">
            <v>Forecast</v>
          </cell>
          <cell r="L191">
            <v>0.33329999999999999</v>
          </cell>
          <cell r="M191">
            <v>0.3503</v>
          </cell>
          <cell r="N191">
            <v>1.7000000000000015E-2</v>
          </cell>
        </row>
        <row r="192">
          <cell r="G192" t="str">
            <v>Operations Suppliers</v>
          </cell>
          <cell r="K192" t="str">
            <v>Forecast</v>
          </cell>
          <cell r="L192">
            <v>0.33329999999999999</v>
          </cell>
          <cell r="M192">
            <v>0.3523</v>
          </cell>
          <cell r="N192">
            <v>1.9000000000000017E-2</v>
          </cell>
        </row>
        <row r="193">
          <cell r="G193" t="str">
            <v>Operations Suppliers</v>
          </cell>
          <cell r="K193" t="str">
            <v>Forecast</v>
          </cell>
          <cell r="L193">
            <v>0.33350000000000002</v>
          </cell>
          <cell r="M193">
            <v>0.35549999999999998</v>
          </cell>
          <cell r="N193">
            <v>2.1999999999999964E-2</v>
          </cell>
        </row>
        <row r="194">
          <cell r="G194" t="str">
            <v>Operations Suppliers</v>
          </cell>
          <cell r="K194" t="str">
            <v>Actual</v>
          </cell>
          <cell r="L194">
            <v>0.33329999999999999</v>
          </cell>
          <cell r="M194">
            <v>0.3543</v>
          </cell>
          <cell r="N194">
            <v>2.1000000000000019E-2</v>
          </cell>
        </row>
        <row r="195">
          <cell r="G195" t="str">
            <v>Operations Suppliers</v>
          </cell>
          <cell r="K195" t="str">
            <v>Actual</v>
          </cell>
          <cell r="L195">
            <v>0.33329999999999999</v>
          </cell>
          <cell r="M195">
            <v>0.35580000000000001</v>
          </cell>
          <cell r="N195">
            <v>2.250000000000002E-2</v>
          </cell>
        </row>
        <row r="196">
          <cell r="G196" t="str">
            <v>Operations Suppliers</v>
          </cell>
          <cell r="K196" t="str">
            <v>Actual</v>
          </cell>
          <cell r="L196">
            <v>0.33329999999999999</v>
          </cell>
          <cell r="M196">
            <v>0.35730000000000001</v>
          </cell>
          <cell r="N196">
            <v>2.4000000000000021E-2</v>
          </cell>
        </row>
        <row r="197">
          <cell r="G197" t="str">
            <v>Operations Suppliers</v>
          </cell>
          <cell r="K197" t="str">
            <v>Actual</v>
          </cell>
          <cell r="L197">
            <v>0.33329999999999999</v>
          </cell>
          <cell r="M197">
            <v>0.35880000000000001</v>
          </cell>
          <cell r="N197">
            <v>2.5500000000000023E-2</v>
          </cell>
        </row>
        <row r="198">
          <cell r="G198" t="str">
            <v>Operations Suppliers</v>
          </cell>
          <cell r="K198" t="str">
            <v>Actual</v>
          </cell>
          <cell r="L198">
            <v>0.33329999999999999</v>
          </cell>
          <cell r="M198">
            <v>0.36030000000000001</v>
          </cell>
          <cell r="N198">
            <v>2.7000000000000024E-2</v>
          </cell>
        </row>
        <row r="199">
          <cell r="G199" t="str">
            <v>Operations Suppliers</v>
          </cell>
          <cell r="K199" t="str">
            <v>Actual</v>
          </cell>
          <cell r="L199">
            <v>0.33350000000000002</v>
          </cell>
          <cell r="M199">
            <v>0.36349999999999999</v>
          </cell>
          <cell r="N199">
            <v>2.9999999999999971E-2</v>
          </cell>
        </row>
        <row r="200">
          <cell r="G200" t="str">
            <v>Operations Suppliers</v>
          </cell>
          <cell r="K200" t="str">
            <v>Latest Estimate</v>
          </cell>
          <cell r="L200">
            <v>0.33329999999999999</v>
          </cell>
          <cell r="M200">
            <v>0.35930000000000001</v>
          </cell>
          <cell r="N200">
            <v>2.6000000000000023E-2</v>
          </cell>
        </row>
        <row r="201">
          <cell r="G201" t="str">
            <v>Operations Suppliers</v>
          </cell>
          <cell r="K201" t="str">
            <v>Forecast</v>
          </cell>
          <cell r="L201">
            <v>0.33329999999999999</v>
          </cell>
          <cell r="M201">
            <v>0.36130000000000001</v>
          </cell>
          <cell r="N201">
            <v>2.8000000000000025E-2</v>
          </cell>
        </row>
        <row r="202">
          <cell r="G202" t="str">
            <v>Operations Suppliers</v>
          </cell>
          <cell r="K202" t="str">
            <v>Forecast</v>
          </cell>
          <cell r="L202">
            <v>0.33329999999999999</v>
          </cell>
          <cell r="M202">
            <v>0.36330000000000001</v>
          </cell>
          <cell r="N202">
            <v>3.0000000000000027E-2</v>
          </cell>
        </row>
        <row r="203">
          <cell r="G203" t="str">
            <v>Operations Suppliers</v>
          </cell>
          <cell r="K203" t="str">
            <v>Forecast</v>
          </cell>
          <cell r="L203">
            <v>0.33329999999999999</v>
          </cell>
          <cell r="M203">
            <v>0.36730000000000002</v>
          </cell>
          <cell r="N203">
            <v>3.400000000000003E-2</v>
          </cell>
        </row>
        <row r="204">
          <cell r="G204" t="str">
            <v>Operations Suppliers</v>
          </cell>
          <cell r="K204" t="str">
            <v>Forecast</v>
          </cell>
          <cell r="L204">
            <v>0.33329999999999999</v>
          </cell>
          <cell r="M204">
            <v>0.37130000000000002</v>
          </cell>
          <cell r="N204">
            <v>3.8000000000000034E-2</v>
          </cell>
        </row>
        <row r="205">
          <cell r="G205" t="str">
            <v>Operations Suppliers</v>
          </cell>
          <cell r="K205" t="str">
            <v>Forecast</v>
          </cell>
          <cell r="L205">
            <v>0.33350000000000002</v>
          </cell>
          <cell r="M205">
            <v>0.3775</v>
          </cell>
          <cell r="N205">
            <v>4.3999999999999984E-2</v>
          </cell>
        </row>
        <row r="206">
          <cell r="G206" t="str">
            <v>Operations Suppliers</v>
          </cell>
          <cell r="K206" t="str">
            <v>Actual</v>
          </cell>
          <cell r="L206">
            <v>0.25</v>
          </cell>
          <cell r="M206">
            <v>0.27100000000000002</v>
          </cell>
          <cell r="N206">
            <v>2.1000000000000019E-2</v>
          </cell>
        </row>
        <row r="207">
          <cell r="G207" t="str">
            <v>Operations Suppliers</v>
          </cell>
          <cell r="K207" t="str">
            <v>Actual</v>
          </cell>
          <cell r="L207">
            <v>0.25</v>
          </cell>
          <cell r="M207">
            <v>0.27250000000000002</v>
          </cell>
          <cell r="N207">
            <v>2.250000000000002E-2</v>
          </cell>
        </row>
        <row r="208">
          <cell r="G208" t="str">
            <v>Operations Suppliers</v>
          </cell>
          <cell r="K208" t="str">
            <v>Actual</v>
          </cell>
          <cell r="L208">
            <v>0.25</v>
          </cell>
          <cell r="M208">
            <v>0.27400000000000002</v>
          </cell>
          <cell r="N208">
            <v>2.4000000000000021E-2</v>
          </cell>
        </row>
        <row r="209">
          <cell r="G209" t="str">
            <v>Operations Suppliers</v>
          </cell>
          <cell r="K209" t="str">
            <v>Actual</v>
          </cell>
          <cell r="L209">
            <v>0.25</v>
          </cell>
          <cell r="M209">
            <v>0.27550000000000002</v>
          </cell>
          <cell r="N209">
            <v>2.5500000000000023E-2</v>
          </cell>
        </row>
        <row r="210">
          <cell r="G210" t="str">
            <v>Operations Suppliers</v>
          </cell>
          <cell r="K210" t="str">
            <v>Actual</v>
          </cell>
          <cell r="L210">
            <v>0.25</v>
          </cell>
          <cell r="M210">
            <v>0.27700000000000002</v>
          </cell>
          <cell r="N210">
            <v>2.7000000000000024E-2</v>
          </cell>
        </row>
        <row r="211">
          <cell r="G211" t="str">
            <v>Operations Suppliers</v>
          </cell>
          <cell r="K211" t="str">
            <v>Actual</v>
          </cell>
          <cell r="L211">
            <v>0.25</v>
          </cell>
          <cell r="M211">
            <v>0.28000000000000003</v>
          </cell>
          <cell r="N211">
            <v>3.0000000000000027E-2</v>
          </cell>
        </row>
        <row r="212">
          <cell r="G212" t="str">
            <v>Operations Suppliers</v>
          </cell>
          <cell r="K212" t="str">
            <v>Latest Estimate</v>
          </cell>
          <cell r="L212">
            <v>0.25</v>
          </cell>
          <cell r="M212">
            <v>0.27600000000000002</v>
          </cell>
          <cell r="N212">
            <v>2.6000000000000023E-2</v>
          </cell>
        </row>
        <row r="213">
          <cell r="G213" t="str">
            <v>Operations Suppliers</v>
          </cell>
          <cell r="K213" t="str">
            <v>Forecast</v>
          </cell>
          <cell r="L213">
            <v>0.25</v>
          </cell>
          <cell r="M213">
            <v>0.27800000000000002</v>
          </cell>
          <cell r="N213">
            <v>2.8000000000000025E-2</v>
          </cell>
        </row>
        <row r="214">
          <cell r="G214" t="str">
            <v>Operations Suppliers</v>
          </cell>
          <cell r="K214" t="str">
            <v>Forecast</v>
          </cell>
          <cell r="L214">
            <v>0.25</v>
          </cell>
          <cell r="M214">
            <v>0.28000000000000003</v>
          </cell>
          <cell r="N214">
            <v>3.0000000000000027E-2</v>
          </cell>
        </row>
        <row r="215">
          <cell r="G215" t="str">
            <v>Operations Suppliers</v>
          </cell>
          <cell r="K215" t="str">
            <v>Forecast</v>
          </cell>
          <cell r="L215">
            <v>0.25</v>
          </cell>
          <cell r="M215">
            <v>0.28399999999999997</v>
          </cell>
          <cell r="N215">
            <v>3.3999999999999975E-2</v>
          </cell>
        </row>
        <row r="216">
          <cell r="G216" t="str">
            <v>Operations Suppliers</v>
          </cell>
          <cell r="K216" t="str">
            <v>Forecast</v>
          </cell>
          <cell r="L216">
            <v>0.25</v>
          </cell>
          <cell r="M216">
            <v>0.28799999999999998</v>
          </cell>
          <cell r="N216">
            <v>3.7999999999999978E-2</v>
          </cell>
        </row>
        <row r="217">
          <cell r="G217" t="str">
            <v>Operations Suppliers</v>
          </cell>
          <cell r="K217" t="str">
            <v>Forecast</v>
          </cell>
          <cell r="L217">
            <v>0.25</v>
          </cell>
          <cell r="M217">
            <v>0.29399999999999998</v>
          </cell>
          <cell r="N217">
            <v>4.3999999999999984E-2</v>
          </cell>
        </row>
        <row r="218">
          <cell r="G218" t="str">
            <v>Other</v>
          </cell>
          <cell r="K218" t="str">
            <v>Actual</v>
          </cell>
          <cell r="L218">
            <v>0.66669999999999996</v>
          </cell>
          <cell r="M218">
            <v>0.65549999999999997</v>
          </cell>
          <cell r="N218">
            <v>-1.1199999999999988E-2</v>
          </cell>
        </row>
        <row r="219">
          <cell r="G219" t="str">
            <v>Other</v>
          </cell>
          <cell r="K219" t="str">
            <v>Actual</v>
          </cell>
          <cell r="L219">
            <v>0.66669999999999996</v>
          </cell>
          <cell r="M219">
            <v>0.65469999999999995</v>
          </cell>
          <cell r="N219">
            <v>-1.2000000000000011E-2</v>
          </cell>
        </row>
        <row r="220">
          <cell r="G220" t="str">
            <v>Other</v>
          </cell>
          <cell r="K220" t="str">
            <v>Actual</v>
          </cell>
          <cell r="L220">
            <v>0.66669999999999996</v>
          </cell>
          <cell r="M220">
            <v>0.65390000000000004</v>
          </cell>
          <cell r="N220">
            <v>-1.2799999999999923E-2</v>
          </cell>
        </row>
        <row r="221">
          <cell r="G221" t="str">
            <v>Other</v>
          </cell>
          <cell r="K221" t="str">
            <v>Actual</v>
          </cell>
          <cell r="L221">
            <v>0.66669999999999996</v>
          </cell>
          <cell r="M221">
            <v>0.65310000000000001</v>
          </cell>
          <cell r="N221">
            <v>-1.3599999999999945E-2</v>
          </cell>
        </row>
        <row r="222">
          <cell r="G222" t="str">
            <v>Other</v>
          </cell>
          <cell r="K222" t="str">
            <v>Actual</v>
          </cell>
          <cell r="L222">
            <v>0.66669999999999996</v>
          </cell>
          <cell r="M222">
            <v>0.65229999999999999</v>
          </cell>
          <cell r="N222">
            <v>-1.4399999999999968E-2</v>
          </cell>
        </row>
        <row r="223">
          <cell r="G223" t="str">
            <v>Other</v>
          </cell>
          <cell r="K223" t="str">
            <v>Actual</v>
          </cell>
          <cell r="L223">
            <v>0.66649999999999998</v>
          </cell>
          <cell r="M223">
            <v>0.65049999999999997</v>
          </cell>
          <cell r="N223">
            <v>-1.6000000000000014E-2</v>
          </cell>
        </row>
        <row r="224">
          <cell r="G224" t="str">
            <v>Other</v>
          </cell>
          <cell r="K224" t="str">
            <v>Latest Estimate</v>
          </cell>
          <cell r="L224">
            <v>0.66669999999999996</v>
          </cell>
          <cell r="M224">
            <v>0.67710000000000004</v>
          </cell>
          <cell r="N224">
            <v>1.0400000000000076E-2</v>
          </cell>
        </row>
        <row r="225">
          <cell r="G225" t="str">
            <v>Other</v>
          </cell>
          <cell r="K225" t="str">
            <v>Forecast</v>
          </cell>
          <cell r="L225">
            <v>0.66669999999999996</v>
          </cell>
          <cell r="M225">
            <v>0.67789999999999995</v>
          </cell>
          <cell r="N225">
            <v>1.1199999999999988E-2</v>
          </cell>
        </row>
        <row r="226">
          <cell r="G226" t="str">
            <v>Other</v>
          </cell>
          <cell r="K226" t="str">
            <v>Forecast</v>
          </cell>
          <cell r="L226">
            <v>0.66669999999999996</v>
          </cell>
          <cell r="M226">
            <v>0.67869999999999997</v>
          </cell>
          <cell r="N226">
            <v>1.2000000000000011E-2</v>
          </cell>
        </row>
        <row r="227">
          <cell r="G227" t="str">
            <v>Other</v>
          </cell>
          <cell r="K227" t="str">
            <v>Forecast</v>
          </cell>
          <cell r="L227">
            <v>0.66669999999999996</v>
          </cell>
          <cell r="M227">
            <v>0.68030000000000002</v>
          </cell>
          <cell r="N227">
            <v>1.3600000000000056E-2</v>
          </cell>
        </row>
        <row r="228">
          <cell r="G228" t="str">
            <v>Other</v>
          </cell>
          <cell r="K228" t="str">
            <v>Forecast</v>
          </cell>
          <cell r="L228">
            <v>0.66669999999999996</v>
          </cell>
          <cell r="M228">
            <v>0.68189999999999995</v>
          </cell>
          <cell r="N228">
            <v>1.5199999999999991E-2</v>
          </cell>
        </row>
        <row r="229">
          <cell r="G229" t="str">
            <v>Other</v>
          </cell>
          <cell r="K229" t="str">
            <v>Forecast</v>
          </cell>
          <cell r="L229">
            <v>0.66649999999999998</v>
          </cell>
          <cell r="M229">
            <v>0.68410000000000004</v>
          </cell>
          <cell r="N229">
            <v>1.760000000000006E-2</v>
          </cell>
        </row>
        <row r="230">
          <cell r="G230" t="str">
            <v>Other</v>
          </cell>
          <cell r="K230" t="str">
            <v>Actual</v>
          </cell>
          <cell r="L230">
            <v>0.5</v>
          </cell>
          <cell r="M230">
            <v>0.49299999999999999</v>
          </cell>
          <cell r="N230">
            <v>-7.0000000000000062E-3</v>
          </cell>
        </row>
        <row r="231">
          <cell r="G231" t="str">
            <v>Other</v>
          </cell>
          <cell r="K231" t="str">
            <v>Actual</v>
          </cell>
          <cell r="L231">
            <v>0.5</v>
          </cell>
          <cell r="M231">
            <v>0.49249999999999999</v>
          </cell>
          <cell r="N231">
            <v>-7.5000000000000067E-3</v>
          </cell>
        </row>
        <row r="232">
          <cell r="G232" t="str">
            <v>Other</v>
          </cell>
          <cell r="K232" t="str">
            <v>Actual</v>
          </cell>
          <cell r="L232">
            <v>0.5</v>
          </cell>
          <cell r="M232">
            <v>0.49199999999999999</v>
          </cell>
          <cell r="N232">
            <v>-8.0000000000000071E-3</v>
          </cell>
        </row>
        <row r="233">
          <cell r="G233" t="str">
            <v>Other</v>
          </cell>
          <cell r="K233" t="str">
            <v>Actual</v>
          </cell>
          <cell r="L233">
            <v>0.5</v>
          </cell>
          <cell r="M233">
            <v>0.49149999999999999</v>
          </cell>
          <cell r="N233">
            <v>-8.5000000000000075E-3</v>
          </cell>
        </row>
        <row r="234">
          <cell r="G234" t="str">
            <v>Other</v>
          </cell>
          <cell r="K234" t="str">
            <v>Actual</v>
          </cell>
          <cell r="L234">
            <v>0.5</v>
          </cell>
          <cell r="M234">
            <v>0.49099999999999999</v>
          </cell>
          <cell r="N234">
            <v>-9.000000000000008E-3</v>
          </cell>
        </row>
        <row r="235">
          <cell r="G235" t="str">
            <v>Other</v>
          </cell>
          <cell r="K235" t="str">
            <v>Actual</v>
          </cell>
          <cell r="L235">
            <v>0.5</v>
          </cell>
          <cell r="M235">
            <v>0.49</v>
          </cell>
          <cell r="N235">
            <v>-1.0000000000000009E-2</v>
          </cell>
        </row>
        <row r="236">
          <cell r="G236" t="str">
            <v>Other</v>
          </cell>
          <cell r="K236" t="str">
            <v>Latest Estimate</v>
          </cell>
          <cell r="L236">
            <v>0.5</v>
          </cell>
          <cell r="M236">
            <v>0.50649999999999995</v>
          </cell>
          <cell r="N236">
            <v>6.4999999999999503E-3</v>
          </cell>
        </row>
        <row r="237">
          <cell r="G237" t="str">
            <v>Other</v>
          </cell>
          <cell r="K237" t="str">
            <v>Forecast</v>
          </cell>
          <cell r="L237">
            <v>0.5</v>
          </cell>
          <cell r="M237">
            <v>0.50700000000000001</v>
          </cell>
          <cell r="N237">
            <v>7.0000000000000062E-3</v>
          </cell>
        </row>
        <row r="238">
          <cell r="G238" t="str">
            <v>Other</v>
          </cell>
          <cell r="K238" t="str">
            <v>Forecast</v>
          </cell>
          <cell r="L238">
            <v>0.5</v>
          </cell>
          <cell r="M238">
            <v>0.50749999999999995</v>
          </cell>
          <cell r="N238">
            <v>7.4999999999999512E-3</v>
          </cell>
        </row>
        <row r="239">
          <cell r="G239" t="str">
            <v>Other</v>
          </cell>
          <cell r="K239" t="str">
            <v>Forecast</v>
          </cell>
          <cell r="L239">
            <v>0.5</v>
          </cell>
          <cell r="M239">
            <v>0.50849999999999995</v>
          </cell>
          <cell r="N239">
            <v>8.499999999999952E-3</v>
          </cell>
        </row>
        <row r="240">
          <cell r="G240" t="str">
            <v>Other</v>
          </cell>
          <cell r="K240" t="str">
            <v>Forecast</v>
          </cell>
          <cell r="L240">
            <v>0.5</v>
          </cell>
          <cell r="M240">
            <v>0.50949999999999995</v>
          </cell>
          <cell r="N240">
            <v>9.4999999999999529E-3</v>
          </cell>
        </row>
        <row r="241">
          <cell r="G241" t="str">
            <v>Other</v>
          </cell>
          <cell r="K241" t="str">
            <v>Forecast</v>
          </cell>
          <cell r="L241">
            <v>0.5</v>
          </cell>
          <cell r="M241">
            <v>0.51100000000000001</v>
          </cell>
          <cell r="N241">
            <v>1.100000000000001E-2</v>
          </cell>
        </row>
        <row r="242">
          <cell r="G242" t="str">
            <v>Other</v>
          </cell>
          <cell r="K242" t="str">
            <v>Actual</v>
          </cell>
          <cell r="L242">
            <v>0.33329999999999999</v>
          </cell>
          <cell r="M242">
            <v>0.3291</v>
          </cell>
          <cell r="N242">
            <v>-4.1999999999999815E-3</v>
          </cell>
        </row>
        <row r="243">
          <cell r="G243" t="str">
            <v>Other</v>
          </cell>
          <cell r="K243" t="str">
            <v>Actual</v>
          </cell>
          <cell r="L243">
            <v>0.33329999999999999</v>
          </cell>
          <cell r="M243">
            <v>0.32879999999999998</v>
          </cell>
          <cell r="N243">
            <v>-4.500000000000004E-3</v>
          </cell>
        </row>
        <row r="244">
          <cell r="G244" t="str">
            <v>Other</v>
          </cell>
          <cell r="K244" t="str">
            <v>Actual</v>
          </cell>
          <cell r="L244">
            <v>0.33329999999999999</v>
          </cell>
          <cell r="M244">
            <v>0.32850000000000001</v>
          </cell>
          <cell r="N244">
            <v>-4.799999999999971E-3</v>
          </cell>
        </row>
        <row r="245">
          <cell r="G245" t="str">
            <v>Other</v>
          </cell>
          <cell r="K245" t="str">
            <v>Actual</v>
          </cell>
          <cell r="L245">
            <v>0.33329999999999999</v>
          </cell>
          <cell r="M245">
            <v>0.32819999999999999</v>
          </cell>
          <cell r="N245">
            <v>-5.0999999999999934E-3</v>
          </cell>
        </row>
        <row r="246">
          <cell r="G246" t="str">
            <v>Other</v>
          </cell>
          <cell r="K246" t="str">
            <v>Actual</v>
          </cell>
          <cell r="L246">
            <v>0.33329999999999999</v>
          </cell>
          <cell r="M246">
            <v>0.32790000000000002</v>
          </cell>
          <cell r="N246">
            <v>-5.3999999999999604E-3</v>
          </cell>
        </row>
        <row r="247">
          <cell r="G247" t="str">
            <v>Other</v>
          </cell>
          <cell r="K247" t="str">
            <v>Actual</v>
          </cell>
          <cell r="L247">
            <v>0.33350000000000002</v>
          </cell>
          <cell r="M247">
            <v>0.32750000000000001</v>
          </cell>
          <cell r="N247">
            <v>-6.0000000000000053E-3</v>
          </cell>
        </row>
        <row r="248">
          <cell r="G248" t="str">
            <v>Other</v>
          </cell>
          <cell r="K248" t="str">
            <v>Latest Estimate</v>
          </cell>
          <cell r="L248">
            <v>0.33329999999999999</v>
          </cell>
          <cell r="M248">
            <v>0.3372</v>
          </cell>
          <cell r="N248">
            <v>3.9000000000000146E-3</v>
          </cell>
        </row>
        <row r="249">
          <cell r="G249" t="str">
            <v>Other</v>
          </cell>
          <cell r="K249" t="str">
            <v>Forecast</v>
          </cell>
          <cell r="L249">
            <v>0.33329999999999999</v>
          </cell>
          <cell r="M249">
            <v>0.33750000000000002</v>
          </cell>
          <cell r="N249">
            <v>4.200000000000037E-3</v>
          </cell>
        </row>
        <row r="250">
          <cell r="G250" t="str">
            <v>Other</v>
          </cell>
          <cell r="K250" t="str">
            <v>Forecast</v>
          </cell>
          <cell r="L250">
            <v>0.33329999999999999</v>
          </cell>
          <cell r="M250">
            <v>0.33779999999999999</v>
          </cell>
          <cell r="N250">
            <v>4.500000000000004E-3</v>
          </cell>
        </row>
        <row r="251">
          <cell r="G251" t="str">
            <v>Other</v>
          </cell>
          <cell r="K251" t="str">
            <v>Forecast</v>
          </cell>
          <cell r="L251">
            <v>0.33329999999999999</v>
          </cell>
          <cell r="M251">
            <v>0.33839999999999998</v>
          </cell>
          <cell r="N251">
            <v>5.0999999999999934E-3</v>
          </cell>
        </row>
        <row r="252">
          <cell r="G252" t="str">
            <v>Other</v>
          </cell>
          <cell r="K252" t="str">
            <v>Forecast</v>
          </cell>
          <cell r="L252">
            <v>0.33329999999999999</v>
          </cell>
          <cell r="M252">
            <v>0.33900000000000002</v>
          </cell>
          <cell r="N252">
            <v>5.7000000000000384E-3</v>
          </cell>
        </row>
        <row r="253">
          <cell r="G253" t="str">
            <v>Other</v>
          </cell>
          <cell r="K253" t="str">
            <v>Forecast</v>
          </cell>
          <cell r="L253">
            <v>0.33350000000000002</v>
          </cell>
          <cell r="M253">
            <v>0.34010000000000001</v>
          </cell>
          <cell r="N253">
            <v>6.5999999999999948E-3</v>
          </cell>
        </row>
        <row r="254">
          <cell r="G254" t="str">
            <v>Other</v>
          </cell>
          <cell r="K254" t="str">
            <v>Actual</v>
          </cell>
          <cell r="L254">
            <v>0.25</v>
          </cell>
          <cell r="M254">
            <v>0.2472</v>
          </cell>
          <cell r="N254">
            <v>-2.7999999999999969E-3</v>
          </cell>
        </row>
        <row r="255">
          <cell r="G255" t="str">
            <v>Other</v>
          </cell>
          <cell r="K255" t="str">
            <v>Actual</v>
          </cell>
          <cell r="L255">
            <v>0.25</v>
          </cell>
          <cell r="M255">
            <v>0.247</v>
          </cell>
          <cell r="N255">
            <v>-3.0000000000000027E-3</v>
          </cell>
        </row>
        <row r="256">
          <cell r="G256" t="str">
            <v>Other</v>
          </cell>
          <cell r="K256" t="str">
            <v>Actual</v>
          </cell>
          <cell r="L256">
            <v>0.25</v>
          </cell>
          <cell r="M256">
            <v>0.24679999999999999</v>
          </cell>
          <cell r="N256">
            <v>-3.2000000000000084E-3</v>
          </cell>
        </row>
        <row r="257">
          <cell r="G257" t="str">
            <v>Other</v>
          </cell>
          <cell r="K257" t="str">
            <v>Actual</v>
          </cell>
          <cell r="L257">
            <v>0.25</v>
          </cell>
          <cell r="M257">
            <v>0.24660000000000001</v>
          </cell>
          <cell r="N257">
            <v>-3.3999999999999864E-3</v>
          </cell>
        </row>
        <row r="258">
          <cell r="G258" t="str">
            <v>Other</v>
          </cell>
          <cell r="K258" t="str">
            <v>Actual</v>
          </cell>
          <cell r="L258">
            <v>0.25</v>
          </cell>
          <cell r="M258">
            <v>0.24640000000000001</v>
          </cell>
          <cell r="N258">
            <v>-3.5999999999999921E-3</v>
          </cell>
        </row>
        <row r="259">
          <cell r="G259" t="str">
            <v>Other</v>
          </cell>
          <cell r="K259" t="str">
            <v>Actual</v>
          </cell>
          <cell r="L259">
            <v>0.25</v>
          </cell>
          <cell r="M259">
            <v>0.246</v>
          </cell>
          <cell r="N259">
            <v>-4.0000000000000036E-3</v>
          </cell>
        </row>
        <row r="260">
          <cell r="G260" t="str">
            <v>Other</v>
          </cell>
          <cell r="K260" t="str">
            <v>Latest Estimate</v>
          </cell>
          <cell r="L260">
            <v>0.25</v>
          </cell>
          <cell r="M260">
            <v>0.25259999999999999</v>
          </cell>
          <cell r="N260">
            <v>2.5999999999999912E-3</v>
          </cell>
        </row>
        <row r="261">
          <cell r="G261" t="str">
            <v>Other</v>
          </cell>
          <cell r="K261" t="str">
            <v>Forecast</v>
          </cell>
          <cell r="L261">
            <v>0.25</v>
          </cell>
          <cell r="M261">
            <v>0.25280000000000002</v>
          </cell>
          <cell r="N261">
            <v>2.8000000000000247E-3</v>
          </cell>
        </row>
        <row r="262">
          <cell r="G262" t="str">
            <v>Other</v>
          </cell>
          <cell r="K262" t="str">
            <v>Forecast</v>
          </cell>
          <cell r="L262">
            <v>0.25</v>
          </cell>
          <cell r="M262">
            <v>0.253</v>
          </cell>
          <cell r="N262">
            <v>3.0000000000000027E-3</v>
          </cell>
        </row>
        <row r="263">
          <cell r="G263" t="str">
            <v>Other</v>
          </cell>
          <cell r="K263" t="str">
            <v>Forecast</v>
          </cell>
          <cell r="L263">
            <v>0.25</v>
          </cell>
          <cell r="M263">
            <v>0.25340000000000001</v>
          </cell>
          <cell r="N263">
            <v>3.4000000000000141E-3</v>
          </cell>
        </row>
        <row r="264">
          <cell r="G264" t="str">
            <v>Other</v>
          </cell>
          <cell r="K264" t="str">
            <v>Forecast</v>
          </cell>
          <cell r="L264">
            <v>0.25</v>
          </cell>
          <cell r="M264">
            <v>0.25380000000000003</v>
          </cell>
          <cell r="N264">
            <v>3.8000000000000256E-3</v>
          </cell>
        </row>
        <row r="265">
          <cell r="G265" t="str">
            <v>Other</v>
          </cell>
          <cell r="K265" t="str">
            <v>Forecast</v>
          </cell>
          <cell r="L265">
            <v>0.25</v>
          </cell>
          <cell r="M265">
            <v>0.25440000000000002</v>
          </cell>
          <cell r="N265">
            <v>4.400000000000015E-3</v>
          </cell>
        </row>
        <row r="266">
          <cell r="G266" t="str">
            <v>Other</v>
          </cell>
          <cell r="K266" t="str">
            <v>Actual</v>
          </cell>
          <cell r="L266">
            <v>0.33329999999999999</v>
          </cell>
          <cell r="M266">
            <v>0.33050000000000002</v>
          </cell>
          <cell r="N266">
            <v>-2.7999999999999692E-3</v>
          </cell>
        </row>
        <row r="267">
          <cell r="G267" t="str">
            <v>Other</v>
          </cell>
          <cell r="K267" t="str">
            <v>Actual</v>
          </cell>
          <cell r="L267">
            <v>0.33329999999999999</v>
          </cell>
          <cell r="M267">
            <v>0.33029999999999998</v>
          </cell>
          <cell r="N267">
            <v>-3.0000000000000027E-3</v>
          </cell>
        </row>
        <row r="268">
          <cell r="G268" t="str">
            <v>Other</v>
          </cell>
          <cell r="K268" t="str">
            <v>Actual</v>
          </cell>
          <cell r="L268">
            <v>0.33329999999999999</v>
          </cell>
          <cell r="M268">
            <v>0.3301</v>
          </cell>
          <cell r="N268">
            <v>-3.1999999999999806E-3</v>
          </cell>
        </row>
        <row r="269">
          <cell r="G269" t="str">
            <v>Other</v>
          </cell>
          <cell r="K269" t="str">
            <v>Actual</v>
          </cell>
          <cell r="L269">
            <v>0.33329999999999999</v>
          </cell>
          <cell r="M269">
            <v>0.32990000000000003</v>
          </cell>
          <cell r="N269">
            <v>-3.3999999999999586E-3</v>
          </cell>
        </row>
        <row r="270">
          <cell r="G270" t="str">
            <v>Other</v>
          </cell>
          <cell r="K270" t="str">
            <v>Actual</v>
          </cell>
          <cell r="L270">
            <v>0.33329999999999999</v>
          </cell>
          <cell r="M270">
            <v>0.32969999999999999</v>
          </cell>
          <cell r="N270">
            <v>-3.5999999999999921E-3</v>
          </cell>
        </row>
        <row r="271">
          <cell r="G271" t="str">
            <v>Other</v>
          </cell>
          <cell r="K271" t="str">
            <v>Actual</v>
          </cell>
          <cell r="L271">
            <v>0.33350000000000002</v>
          </cell>
          <cell r="M271">
            <v>0.32950000000000002</v>
          </cell>
          <cell r="N271">
            <v>-4.0000000000000036E-3</v>
          </cell>
        </row>
        <row r="272">
          <cell r="G272" t="str">
            <v>Other</v>
          </cell>
          <cell r="K272" t="str">
            <v>Latest Estimate</v>
          </cell>
          <cell r="L272">
            <v>0.33329999999999999</v>
          </cell>
          <cell r="M272">
            <v>0.33589999999999998</v>
          </cell>
          <cell r="N272">
            <v>2.5999999999999912E-3</v>
          </cell>
        </row>
        <row r="273">
          <cell r="G273" t="str">
            <v>Other</v>
          </cell>
          <cell r="K273" t="str">
            <v>Forecast</v>
          </cell>
          <cell r="L273">
            <v>0.33329999999999999</v>
          </cell>
          <cell r="M273">
            <v>0.33610000000000001</v>
          </cell>
          <cell r="N273">
            <v>2.8000000000000247E-3</v>
          </cell>
        </row>
        <row r="274">
          <cell r="G274" t="str">
            <v>Other</v>
          </cell>
          <cell r="K274" t="str">
            <v>Forecast</v>
          </cell>
          <cell r="L274">
            <v>0.33329999999999999</v>
          </cell>
          <cell r="M274">
            <v>0.33629999999999999</v>
          </cell>
          <cell r="N274">
            <v>3.0000000000000027E-3</v>
          </cell>
        </row>
        <row r="275">
          <cell r="G275" t="str">
            <v>Other</v>
          </cell>
          <cell r="K275" t="str">
            <v>Forecast</v>
          </cell>
          <cell r="L275">
            <v>0.33329999999999999</v>
          </cell>
          <cell r="M275">
            <v>0.3367</v>
          </cell>
          <cell r="N275">
            <v>3.4000000000000141E-3</v>
          </cell>
        </row>
        <row r="276">
          <cell r="G276" t="str">
            <v>Other</v>
          </cell>
          <cell r="K276" t="str">
            <v>Forecast</v>
          </cell>
          <cell r="L276">
            <v>0.33329999999999999</v>
          </cell>
          <cell r="M276">
            <v>0.33710000000000001</v>
          </cell>
          <cell r="N276">
            <v>3.8000000000000256E-3</v>
          </cell>
        </row>
        <row r="277">
          <cell r="G277" t="str">
            <v>Other</v>
          </cell>
          <cell r="K277" t="str">
            <v>Forecast</v>
          </cell>
          <cell r="L277">
            <v>0.33350000000000002</v>
          </cell>
          <cell r="M277">
            <v>0.33789999999999998</v>
          </cell>
          <cell r="N277">
            <v>4.3999999999999595E-3</v>
          </cell>
        </row>
      </sheetData>
      <sheetData sheetId="4"/>
      <sheetData sheetId="5"/>
      <sheetData sheetId="6">
        <row r="2">
          <cell r="G2">
            <v>2</v>
          </cell>
        </row>
        <row r="3">
          <cell r="G3">
            <v>0.8</v>
          </cell>
        </row>
        <row r="4">
          <cell r="G4">
            <v>2.2000000000000002</v>
          </cell>
        </row>
        <row r="5">
          <cell r="G5">
            <v>0.8</v>
          </cell>
        </row>
        <row r="6">
          <cell r="G6">
            <v>0.4</v>
          </cell>
        </row>
        <row r="7">
          <cell r="G7">
            <v>0.3</v>
          </cell>
        </row>
        <row r="8">
          <cell r="G8">
            <v>0.5</v>
          </cell>
        </row>
        <row r="9">
          <cell r="G9">
            <v>0.7</v>
          </cell>
        </row>
        <row r="10">
          <cell r="G10">
            <v>0.4</v>
          </cell>
        </row>
        <row r="11">
          <cell r="G11">
            <v>0.3</v>
          </cell>
        </row>
        <row r="12">
          <cell r="G12">
            <v>0.1</v>
          </cell>
        </row>
      </sheetData>
      <sheetData sheetId="7">
        <row r="2">
          <cell r="D2">
            <v>1.8</v>
          </cell>
        </row>
        <row r="3">
          <cell r="D3">
            <v>0.9</v>
          </cell>
        </row>
        <row r="4">
          <cell r="D4">
            <v>0.7</v>
          </cell>
        </row>
        <row r="5">
          <cell r="D5">
            <v>0.6</v>
          </cell>
        </row>
        <row r="6">
          <cell r="D6">
            <v>0.8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10" name="ScenarioDeliveryTable" displayName="ScenarioDeliveryTable" ref="A1:H16">
  <tableColumns count="8">
    <tableColumn id="1" name="Scenario"/>
    <tableColumn id="2" name="Scenario_Order"/>
    <tableColumn id="3" name="Action_ID"/>
    <tableColumn id="4" name="Action"/>
    <tableColumn id="5" name="Planned_Net_Saving_EUR_m"/>
    <tableColumn id="6" name="Delivery_Rate"/>
    <tableColumn id="7" name="Expected_Net_Saving_EUR_m">
      <calculatedColumnFormula>E2*F2</calculatedColumnFormula>
    </tableColumn>
    <tableColumn id="8" name="Assum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imDateTable" displayName="DimDateTable" ref="A1:G13">
  <tableColumns count="7">
    <tableColumn id="1" name="Month_Start"/>
    <tableColumn id="2" name="Year"/>
    <tableColumn id="3" name="Quarter"/>
    <tableColumn id="4" name="Month_Number"/>
    <tableColumn id="5" name="Month_Name"/>
    <tableColumn id="6" name="Year_Month"/>
    <tableColumn id="7" name="Scenario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CostItemMasterTable" displayName="CostItemMasterTable" ref="A1:M24">
  <tableColumns count="13">
    <tableColumn id="1" name="Cost_Item_ID"/>
    <tableColumn id="2" name="Brand"/>
    <tableColumn id="3" name="Department"/>
    <tableColumn id="4" name="Cost_Category"/>
    <tableColumn id="5" name="Cost_Subcategory"/>
    <tableColumn id="6" name="Issue_Group"/>
    <tableColumn id="7" name="Cost_Nature"/>
    <tableColumn id="8" name="Cost_Owner"/>
    <tableColumn id="9" name="Root_Cause_Class"/>
    <tableColumn id="10" name="Controllability"/>
    <tableColumn id="11" name="Annual_Budget_EUR_m"/>
    <tableColumn id="12" name="Year_to_Date_Variance_EUR_m"/>
    <tableColumn id="13" name="Full_Year_Variance_EUR_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FactCostMonthlyTable" displayName="FactCostMonthlyTable" ref="A1:N277">
  <tableColumns count="14">
    <tableColumn id="1" name="Month_Start"/>
    <tableColumn id="2" name="Cost_Item_ID"/>
    <tableColumn id="3" name="Brand"/>
    <tableColumn id="4" name="Department"/>
    <tableColumn id="5" name="Cost_Category"/>
    <tableColumn id="6" name="Cost_Subcategory"/>
    <tableColumn id="7" name="Issue_Group"/>
    <tableColumn id="8" name="Cost_Nature"/>
    <tableColumn id="9" name="Root_Cause_Class"/>
    <tableColumn id="10" name="Controllability"/>
    <tableColumn id="11" name="Scenario_Type"/>
    <tableColumn id="12" name="Budget_EUR_m"/>
    <tableColumn id="13" name="Actual_Forecast_EUR_m"/>
    <tableColumn id="14" name="Variance_EUR_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DriverMasterTable" displayName="DriverMasterTable" ref="A1:F13">
  <tableColumns count="6">
    <tableColumn id="1" name="Driver_ID"/>
    <tableColumn id="2" name="Driver_Group"/>
    <tableColumn id="3" name="Driver_Name"/>
    <tableColumn id="4" name="Unit"/>
    <tableColumn id="5" name="Linked_Issue"/>
    <tableColumn id="6" name="Management_Interpre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FactDriverMonthlyTable" displayName="FactDriverMonthlyTable" ref="A1:J145">
  <tableColumns count="10">
    <tableColumn id="1" name="Month_Start"/>
    <tableColumn id="2" name="Driver_ID"/>
    <tableColumn id="3" name="Driver_Group"/>
    <tableColumn id="4" name="Driver_Name"/>
    <tableColumn id="5" name="Unit"/>
    <tableColumn id="6" name="Linked_Issue"/>
    <tableColumn id="7" name="Scenario_Type"/>
    <tableColumn id="8" name="Plan_Value"/>
    <tableColumn id="9" name="Actual_Forecast_Value"/>
    <tableColumn id="10" name="Variance_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RootCausesTable" displayName="RootCausesTable" ref="A1:I12">
  <tableColumns count="9">
    <tableColumn id="1" name="Root_Cause_ID"/>
    <tableColumn id="2" name="Issue_Group"/>
    <tableColumn id="3" name="Root_Cause"/>
    <tableColumn id="4" name="Root_Cause_Class"/>
    <tableColumn id="5" name="Controllability"/>
    <tableColumn id="6" name="Evidence_Driver_ID"/>
    <tableColumn id="7" name="Full_Year_Impact_EUR_m"/>
    <tableColumn id="8" name="Owner"/>
    <tableColumn id="9" name="Management_Interpret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ActionPlanTable" displayName="ActionPlanTable" ref="A1:R6">
  <tableColumns count="18">
    <tableColumn id="1" name="Action_ID"/>
    <tableColumn id="2" name="Issue_Group"/>
    <tableColumn id="3" name="Action"/>
    <tableColumn id="4" name="Gross_Saving_EUR_m"/>
    <tableColumn id="5" name="Implementation_Cost_EUR_m"/>
    <tableColumn id="6" name="Net_Saving_EUR_m">
      <calculatedColumnFormula>D2-E2</calculatedColumnFormula>
    </tableColumn>
    <tableColumn id="7" name="Owner"/>
    <tableColumn id="8" name="Deadline"/>
    <tableColumn id="9" name="Risk"/>
    <tableColumn id="10" name="Risk_Rating"/>
    <tableColumn id="11" name="Status"/>
    <tableColumn id="12" name="Decision_Required"/>
    <tableColumn id="13" name="Notes"/>
    <tableColumn id="14" name="Realised_Saving_EUR_m"/>
    <tableColumn id="15" name="Remaining_Saving_EUR_m">
      <calculatedColumnFormula>F2-N2</calculatedColumnFormula>
    </tableColumn>
    <tableColumn id="16" name="Delivery_Confidence"/>
    <tableColumn id="17" name="Last_Update"/>
    <tableColumn id="18" name="Saving_Comm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DecisionRequestsTable" displayName="DecisionRequestsTable" ref="A1:H6">
  <tableColumns count="8">
    <tableColumn id="1" name="Decision_ID"/>
    <tableColumn id="2" name="Decision_Required"/>
    <tableColumn id="3" name="Related_Action_ID"/>
    <tableColumn id="4" name="Decision_Owner"/>
    <tableColumn id="5" name="Decision_Deadline"/>
    <tableColumn id="6" name="Financial_Impact_EUR_m"/>
    <tableColumn id="7" name="Status"/>
    <tableColumn id="8" name="Consequence_of_No_De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OperationalDriverAnalysisTable" displayName="OperationalDriverAnalysisTable" ref="A1:O38">
  <tableColumns count="15">
    <tableColumn id="1" name="Operational_Driver_ID"/>
    <tableColumn id="2" name="Issue_Group"/>
    <tableColumn id="3" name="Cost_Item_ID"/>
    <tableColumn id="4" name="Root_Cause_ID"/>
    <tableColumn id="5" name="Cost_Item"/>
    <tableColumn id="6" name="Operational_Driver"/>
    <tableColumn id="7" name="Driver_Type"/>
    <tableColumn id="8" name="Root_Cause_Class"/>
    <tableColumn id="9" name="Controllability"/>
    <tableColumn id="10" name="Variance_EUR_m"/>
    <tableColumn id="11" name="Primary_Action_ID"/>
    <tableColumn id="12" name="Primary_Action"/>
    <tableColumn id="13" name="Action_Coverage"/>
    <tableColumn id="14" name="Cost_Owner"/>
    <tableColumn id="15" name="Management_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E21" sqref="E21"/>
    </sheetView>
  </sheetViews>
  <sheetFormatPr defaultRowHeight="13.8"/>
  <cols>
    <col min="1" max="1" width="16" customWidth="1"/>
    <col min="2" max="2" width="14" customWidth="1"/>
    <col min="3" max="3" width="12" customWidth="1"/>
    <col min="4" max="4" width="34" customWidth="1"/>
    <col min="5" max="5" width="20" customWidth="1"/>
    <col min="6" max="6" width="14" customWidth="1"/>
    <col min="7" max="7" width="22" customWidth="1"/>
    <col min="8" max="8" width="58" customWidth="1"/>
  </cols>
  <sheetData>
    <row r="1" spans="1:8">
      <c r="A1" s="12" t="s">
        <v>352</v>
      </c>
      <c r="B1" s="12" t="s">
        <v>353</v>
      </c>
      <c r="C1" s="12" t="s">
        <v>270</v>
      </c>
      <c r="D1" s="12" t="s">
        <v>271</v>
      </c>
      <c r="E1" s="12" t="s">
        <v>354</v>
      </c>
      <c r="F1" s="12" t="s">
        <v>355</v>
      </c>
      <c r="G1" s="12" t="s">
        <v>356</v>
      </c>
      <c r="H1" s="12" t="s">
        <v>357</v>
      </c>
    </row>
    <row r="2" spans="1:8" ht="27.6">
      <c r="A2" s="1" t="s">
        <v>358</v>
      </c>
      <c r="B2" s="1">
        <v>1</v>
      </c>
      <c r="C2" s="1" t="s">
        <v>241</v>
      </c>
      <c r="D2" s="1" t="s">
        <v>284</v>
      </c>
      <c r="E2" s="13">
        <f>[1]Action_Plan!$F$2</f>
        <v>1.6</v>
      </c>
      <c r="F2" s="14">
        <v>0.4</v>
      </c>
      <c r="G2" s="13">
        <f t="shared" ref="G2:G16" si="0">E2*F2</f>
        <v>0.64000000000000012</v>
      </c>
      <c r="H2" s="1" t="s">
        <v>359</v>
      </c>
    </row>
    <row r="3" spans="1:8" ht="27.6">
      <c r="A3" s="1" t="s">
        <v>358</v>
      </c>
      <c r="B3" s="1">
        <v>1</v>
      </c>
      <c r="C3" s="1" t="s">
        <v>242</v>
      </c>
      <c r="D3" s="1" t="s">
        <v>291</v>
      </c>
      <c r="E3" s="13">
        <f>[1]Action_Plan!$F$3</f>
        <v>0.85</v>
      </c>
      <c r="F3" s="14">
        <v>0.5</v>
      </c>
      <c r="G3" s="13">
        <f t="shared" si="0"/>
        <v>0.42499999999999999</v>
      </c>
      <c r="H3" s="1" t="s">
        <v>360</v>
      </c>
    </row>
    <row r="4" spans="1:8" ht="27.6">
      <c r="A4" s="1" t="s">
        <v>358</v>
      </c>
      <c r="B4" s="1">
        <v>1</v>
      </c>
      <c r="C4" s="1" t="s">
        <v>296</v>
      </c>
      <c r="D4" s="1" t="s">
        <v>297</v>
      </c>
      <c r="E4" s="13">
        <f>[1]Action_Plan!$F$4</f>
        <v>0.6</v>
      </c>
      <c r="F4" s="14">
        <v>0.7</v>
      </c>
      <c r="G4" s="13">
        <f t="shared" si="0"/>
        <v>0.42</v>
      </c>
      <c r="H4" s="1" t="s">
        <v>361</v>
      </c>
    </row>
    <row r="5" spans="1:8" ht="27.6">
      <c r="A5" s="1" t="s">
        <v>358</v>
      </c>
      <c r="B5" s="1">
        <v>1</v>
      </c>
      <c r="C5" s="1" t="s">
        <v>243</v>
      </c>
      <c r="D5" s="1" t="s">
        <v>303</v>
      </c>
      <c r="E5" s="13">
        <f>[1]Action_Plan!$F$5</f>
        <v>0.54999999999999993</v>
      </c>
      <c r="F5" s="14">
        <v>0.3</v>
      </c>
      <c r="G5" s="13">
        <f t="shared" si="0"/>
        <v>0.16499999999999998</v>
      </c>
      <c r="H5" s="1" t="s">
        <v>362</v>
      </c>
    </row>
    <row r="6" spans="1:8" ht="27.6">
      <c r="A6" s="1" t="s">
        <v>358</v>
      </c>
      <c r="B6" s="1">
        <v>1</v>
      </c>
      <c r="C6" s="1" t="s">
        <v>244</v>
      </c>
      <c r="D6" s="1" t="s">
        <v>308</v>
      </c>
      <c r="E6" s="13">
        <f>[1]Action_Plan!$F$6</f>
        <v>0.8</v>
      </c>
      <c r="F6" s="14">
        <v>0.5</v>
      </c>
      <c r="G6" s="13">
        <f t="shared" si="0"/>
        <v>0.4</v>
      </c>
      <c r="H6" s="1" t="s">
        <v>363</v>
      </c>
    </row>
    <row r="7" spans="1:8" ht="27.6">
      <c r="A7" s="1" t="s">
        <v>364</v>
      </c>
      <c r="B7" s="1">
        <v>2</v>
      </c>
      <c r="C7" s="1" t="s">
        <v>241</v>
      </c>
      <c r="D7" s="1" t="s">
        <v>284</v>
      </c>
      <c r="E7" s="13">
        <f>[1]Action_Plan!$F$2</f>
        <v>1.6</v>
      </c>
      <c r="F7" s="14">
        <v>0.75</v>
      </c>
      <c r="G7" s="13">
        <f t="shared" si="0"/>
        <v>1.2000000000000002</v>
      </c>
      <c r="H7" s="1" t="s">
        <v>365</v>
      </c>
    </row>
    <row r="8" spans="1:8" ht="27.6">
      <c r="A8" s="1" t="s">
        <v>364</v>
      </c>
      <c r="B8" s="1">
        <v>2</v>
      </c>
      <c r="C8" s="1" t="s">
        <v>242</v>
      </c>
      <c r="D8" s="1" t="s">
        <v>291</v>
      </c>
      <c r="E8" s="13">
        <f>[1]Action_Plan!$F$3</f>
        <v>0.85</v>
      </c>
      <c r="F8" s="14">
        <v>0.8</v>
      </c>
      <c r="G8" s="13">
        <f t="shared" si="0"/>
        <v>0.68</v>
      </c>
      <c r="H8" s="1" t="s">
        <v>366</v>
      </c>
    </row>
    <row r="9" spans="1:8">
      <c r="A9" s="1" t="s">
        <v>364</v>
      </c>
      <c r="B9" s="1">
        <v>2</v>
      </c>
      <c r="C9" s="1" t="s">
        <v>296</v>
      </c>
      <c r="D9" s="1" t="s">
        <v>297</v>
      </c>
      <c r="E9" s="13">
        <f>[1]Action_Plan!$F$4</f>
        <v>0.6</v>
      </c>
      <c r="F9" s="14">
        <v>0.9</v>
      </c>
      <c r="G9" s="13">
        <f t="shared" si="0"/>
        <v>0.54</v>
      </c>
      <c r="H9" s="1" t="s">
        <v>367</v>
      </c>
    </row>
    <row r="10" spans="1:8" ht="27.6">
      <c r="A10" s="1" t="s">
        <v>364</v>
      </c>
      <c r="B10" s="1">
        <v>2</v>
      </c>
      <c r="C10" s="1" t="s">
        <v>243</v>
      </c>
      <c r="D10" s="1" t="s">
        <v>303</v>
      </c>
      <c r="E10" s="13">
        <f>[1]Action_Plan!$F$5</f>
        <v>0.54999999999999993</v>
      </c>
      <c r="F10" s="14">
        <v>0.7</v>
      </c>
      <c r="G10" s="13">
        <f t="shared" si="0"/>
        <v>0.38499999999999995</v>
      </c>
      <c r="H10" s="1" t="s">
        <v>368</v>
      </c>
    </row>
    <row r="11" spans="1:8">
      <c r="A11" s="1" t="s">
        <v>364</v>
      </c>
      <c r="B11" s="1">
        <v>2</v>
      </c>
      <c r="C11" s="1" t="s">
        <v>244</v>
      </c>
      <c r="D11" s="1" t="s">
        <v>308</v>
      </c>
      <c r="E11" s="13">
        <f>[1]Action_Plan!$F$6</f>
        <v>0.8</v>
      </c>
      <c r="F11" s="14">
        <v>0.85</v>
      </c>
      <c r="G11" s="13">
        <f t="shared" si="0"/>
        <v>0.68</v>
      </c>
      <c r="H11" s="1" t="s">
        <v>369</v>
      </c>
    </row>
    <row r="12" spans="1:8">
      <c r="A12" s="1" t="s">
        <v>370</v>
      </c>
      <c r="B12" s="1">
        <v>3</v>
      </c>
      <c r="C12" s="1" t="s">
        <v>241</v>
      </c>
      <c r="D12" s="1" t="s">
        <v>284</v>
      </c>
      <c r="E12" s="13">
        <f>[1]Action_Plan!$F$2</f>
        <v>1.6</v>
      </c>
      <c r="F12" s="14">
        <v>1</v>
      </c>
      <c r="G12" s="13">
        <f t="shared" si="0"/>
        <v>1.6</v>
      </c>
      <c r="H12" s="1" t="s">
        <v>371</v>
      </c>
    </row>
    <row r="13" spans="1:8">
      <c r="A13" s="1" t="s">
        <v>370</v>
      </c>
      <c r="B13" s="1">
        <v>3</v>
      </c>
      <c r="C13" s="1" t="s">
        <v>242</v>
      </c>
      <c r="D13" s="1" t="s">
        <v>291</v>
      </c>
      <c r="E13" s="13">
        <f>[1]Action_Plan!$F$3</f>
        <v>0.85</v>
      </c>
      <c r="F13" s="14">
        <v>1</v>
      </c>
      <c r="G13" s="13">
        <f t="shared" si="0"/>
        <v>0.85</v>
      </c>
      <c r="H13" s="1" t="s">
        <v>372</v>
      </c>
    </row>
    <row r="14" spans="1:8">
      <c r="A14" s="1" t="s">
        <v>370</v>
      </c>
      <c r="B14" s="1">
        <v>3</v>
      </c>
      <c r="C14" s="1" t="s">
        <v>296</v>
      </c>
      <c r="D14" s="1" t="s">
        <v>297</v>
      </c>
      <c r="E14" s="13">
        <f>[1]Action_Plan!$F$4</f>
        <v>0.6</v>
      </c>
      <c r="F14" s="14">
        <v>1</v>
      </c>
      <c r="G14" s="13">
        <f t="shared" si="0"/>
        <v>0.6</v>
      </c>
      <c r="H14" s="1" t="s">
        <v>373</v>
      </c>
    </row>
    <row r="15" spans="1:8">
      <c r="A15" s="1" t="s">
        <v>370</v>
      </c>
      <c r="B15" s="1">
        <v>3</v>
      </c>
      <c r="C15" s="1" t="s">
        <v>243</v>
      </c>
      <c r="D15" s="1" t="s">
        <v>303</v>
      </c>
      <c r="E15" s="13">
        <f>[1]Action_Plan!$F$5</f>
        <v>0.54999999999999993</v>
      </c>
      <c r="F15" s="14">
        <v>1</v>
      </c>
      <c r="G15" s="13">
        <f t="shared" si="0"/>
        <v>0.54999999999999993</v>
      </c>
      <c r="H15" s="1" t="s">
        <v>374</v>
      </c>
    </row>
    <row r="16" spans="1:8">
      <c r="A16" s="1" t="s">
        <v>370</v>
      </c>
      <c r="B16" s="1">
        <v>3</v>
      </c>
      <c r="C16" s="1" t="s">
        <v>244</v>
      </c>
      <c r="D16" s="1" t="s">
        <v>308</v>
      </c>
      <c r="E16" s="13">
        <f>[1]Action_Plan!$F$6</f>
        <v>0.8</v>
      </c>
      <c r="F16" s="14">
        <v>1</v>
      </c>
      <c r="G16" s="13">
        <f t="shared" si="0"/>
        <v>0.8</v>
      </c>
      <c r="H16" s="1" t="s">
        <v>375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30" sqref="B30"/>
    </sheetView>
  </sheetViews>
  <sheetFormatPr defaultRowHeight="13.8"/>
  <cols>
    <col min="1" max="1" width="10.3984375" customWidth="1"/>
    <col min="2" max="2" width="4.8984375" bestFit="1" customWidth="1"/>
    <col min="3" max="3" width="8.5" bestFit="1" customWidth="1"/>
    <col min="4" max="4" width="15.296875" customWidth="1"/>
    <col min="5" max="5" width="15" customWidth="1"/>
    <col min="6" max="6" width="17.3984375" customWidth="1"/>
    <col min="7" max="7" width="14.796875" customWidth="1"/>
  </cols>
  <sheetData>
    <row r="1" spans="1:7" ht="27.6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 s="3">
        <v>46023</v>
      </c>
      <c r="B2">
        <v>2026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  <row r="3" spans="1:7">
      <c r="A3" s="3">
        <v>46054</v>
      </c>
      <c r="B3">
        <v>2026</v>
      </c>
      <c r="C3" t="s">
        <v>9</v>
      </c>
      <c r="D3">
        <v>2</v>
      </c>
      <c r="E3" t="s">
        <v>13</v>
      </c>
      <c r="F3" t="s">
        <v>14</v>
      </c>
      <c r="G3" t="s">
        <v>12</v>
      </c>
    </row>
    <row r="4" spans="1:7">
      <c r="A4" s="3">
        <v>46082</v>
      </c>
      <c r="B4">
        <v>2026</v>
      </c>
      <c r="C4" t="s">
        <v>9</v>
      </c>
      <c r="D4">
        <v>3</v>
      </c>
      <c r="E4" t="s">
        <v>15</v>
      </c>
      <c r="F4" t="s">
        <v>16</v>
      </c>
      <c r="G4" t="s">
        <v>12</v>
      </c>
    </row>
    <row r="5" spans="1:7">
      <c r="A5" s="3">
        <v>46113</v>
      </c>
      <c r="B5">
        <v>2026</v>
      </c>
      <c r="C5" t="s">
        <v>17</v>
      </c>
      <c r="D5">
        <v>4</v>
      </c>
      <c r="E5" t="s">
        <v>18</v>
      </c>
      <c r="F5" t="s">
        <v>19</v>
      </c>
      <c r="G5" t="s">
        <v>12</v>
      </c>
    </row>
    <row r="6" spans="1:7">
      <c r="A6" s="3">
        <v>46143</v>
      </c>
      <c r="B6">
        <v>2026</v>
      </c>
      <c r="C6" t="s">
        <v>17</v>
      </c>
      <c r="D6">
        <v>5</v>
      </c>
      <c r="E6" t="s">
        <v>20</v>
      </c>
      <c r="F6" t="s">
        <v>21</v>
      </c>
      <c r="G6" t="s">
        <v>12</v>
      </c>
    </row>
    <row r="7" spans="1:7">
      <c r="A7" s="3">
        <v>46174</v>
      </c>
      <c r="B7">
        <v>2026</v>
      </c>
      <c r="C7" t="s">
        <v>17</v>
      </c>
      <c r="D7">
        <v>6</v>
      </c>
      <c r="E7" t="s">
        <v>22</v>
      </c>
      <c r="F7" t="s">
        <v>23</v>
      </c>
      <c r="G7" t="s">
        <v>12</v>
      </c>
    </row>
    <row r="8" spans="1:7">
      <c r="A8" s="3">
        <v>46204</v>
      </c>
      <c r="B8">
        <v>2026</v>
      </c>
      <c r="C8" t="s">
        <v>24</v>
      </c>
      <c r="D8">
        <v>7</v>
      </c>
      <c r="E8" t="s">
        <v>25</v>
      </c>
      <c r="F8" t="s">
        <v>26</v>
      </c>
      <c r="G8" t="s">
        <v>27</v>
      </c>
    </row>
    <row r="9" spans="1:7">
      <c r="A9" s="3">
        <v>46235</v>
      </c>
      <c r="B9">
        <v>2026</v>
      </c>
      <c r="C9" t="s">
        <v>24</v>
      </c>
      <c r="D9">
        <v>8</v>
      </c>
      <c r="E9" t="s">
        <v>28</v>
      </c>
      <c r="F9" t="s">
        <v>29</v>
      </c>
      <c r="G9" t="s">
        <v>30</v>
      </c>
    </row>
    <row r="10" spans="1:7">
      <c r="A10" s="3">
        <v>46266</v>
      </c>
      <c r="B10">
        <v>2026</v>
      </c>
      <c r="C10" t="s">
        <v>24</v>
      </c>
      <c r="D10">
        <v>9</v>
      </c>
      <c r="E10" t="s">
        <v>31</v>
      </c>
      <c r="F10" t="s">
        <v>32</v>
      </c>
      <c r="G10" t="s">
        <v>30</v>
      </c>
    </row>
    <row r="11" spans="1:7">
      <c r="A11" s="3">
        <v>46296</v>
      </c>
      <c r="B11">
        <v>2026</v>
      </c>
      <c r="C11" t="s">
        <v>33</v>
      </c>
      <c r="D11">
        <v>10</v>
      </c>
      <c r="E11" t="s">
        <v>34</v>
      </c>
      <c r="F11" t="s">
        <v>35</v>
      </c>
      <c r="G11" t="s">
        <v>30</v>
      </c>
    </row>
    <row r="12" spans="1:7">
      <c r="A12" s="3">
        <v>46327</v>
      </c>
      <c r="B12">
        <v>2026</v>
      </c>
      <c r="C12" t="s">
        <v>33</v>
      </c>
      <c r="D12">
        <v>11</v>
      </c>
      <c r="E12" t="s">
        <v>36</v>
      </c>
      <c r="F12" t="s">
        <v>37</v>
      </c>
      <c r="G12" t="s">
        <v>30</v>
      </c>
    </row>
    <row r="13" spans="1:7">
      <c r="A13" s="3">
        <v>46357</v>
      </c>
      <c r="B13">
        <v>2026</v>
      </c>
      <c r="C13" t="s">
        <v>33</v>
      </c>
      <c r="D13">
        <v>12</v>
      </c>
      <c r="E13" t="s">
        <v>38</v>
      </c>
      <c r="F13" t="s">
        <v>39</v>
      </c>
      <c r="G13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3.8"/>
  <cols>
    <col min="1" max="1" width="13.09765625" customWidth="1"/>
    <col min="2" max="10" width="24" customWidth="1"/>
    <col min="11" max="14" width="29.69921875" customWidth="1"/>
  </cols>
  <sheetData>
    <row r="1" spans="1:1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</row>
    <row r="2" spans="1:13" ht="27.6">
      <c r="A2" s="1" t="s">
        <v>53</v>
      </c>
      <c r="B2" s="1" t="s">
        <v>484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4">
        <v>6</v>
      </c>
      <c r="L2" s="4">
        <v>0.7</v>
      </c>
      <c r="M2" s="4">
        <v>1.5</v>
      </c>
    </row>
    <row r="3" spans="1:13" ht="27.6">
      <c r="A3" s="1" t="s">
        <v>62</v>
      </c>
      <c r="B3" s="1" t="s">
        <v>483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4">
        <v>2</v>
      </c>
      <c r="L3" s="4">
        <v>0.2</v>
      </c>
      <c r="M3" s="4">
        <v>0.5</v>
      </c>
    </row>
    <row r="4" spans="1:13" ht="27.6">
      <c r="A4" s="1" t="s">
        <v>63</v>
      </c>
      <c r="B4" s="1" t="s">
        <v>64</v>
      </c>
      <c r="C4" s="1" t="s">
        <v>54</v>
      </c>
      <c r="D4" s="1" t="s">
        <v>55</v>
      </c>
      <c r="E4" s="1" t="s">
        <v>65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4">
        <v>4</v>
      </c>
      <c r="L4" s="4">
        <v>0.4</v>
      </c>
      <c r="M4" s="4">
        <v>0.8</v>
      </c>
    </row>
    <row r="5" spans="1:13" ht="27.6">
      <c r="A5" s="1" t="s">
        <v>66</v>
      </c>
      <c r="B5" s="1" t="s">
        <v>484</v>
      </c>
      <c r="C5" s="1" t="s">
        <v>54</v>
      </c>
      <c r="D5" s="1" t="s">
        <v>67</v>
      </c>
      <c r="E5" s="1" t="s">
        <v>68</v>
      </c>
      <c r="F5" s="1" t="s">
        <v>57</v>
      </c>
      <c r="G5" s="1" t="s">
        <v>69</v>
      </c>
      <c r="H5" s="1" t="s">
        <v>59</v>
      </c>
      <c r="I5" s="1" t="s">
        <v>70</v>
      </c>
      <c r="J5" s="1" t="s">
        <v>61</v>
      </c>
      <c r="K5" s="4">
        <v>5</v>
      </c>
      <c r="L5" s="4">
        <v>0.7</v>
      </c>
      <c r="M5" s="4">
        <v>1.4</v>
      </c>
    </row>
    <row r="6" spans="1:13" ht="27.6">
      <c r="A6" s="1" t="s">
        <v>71</v>
      </c>
      <c r="B6" s="1" t="s">
        <v>64</v>
      </c>
      <c r="C6" s="1" t="s">
        <v>54</v>
      </c>
      <c r="D6" s="1" t="s">
        <v>67</v>
      </c>
      <c r="E6" s="1" t="s">
        <v>68</v>
      </c>
      <c r="F6" s="1" t="s">
        <v>57</v>
      </c>
      <c r="G6" s="1" t="s">
        <v>69</v>
      </c>
      <c r="H6" s="1" t="s">
        <v>59</v>
      </c>
      <c r="I6" s="1" t="s">
        <v>70</v>
      </c>
      <c r="J6" s="1" t="s">
        <v>61</v>
      </c>
      <c r="K6" s="4">
        <v>3</v>
      </c>
      <c r="L6" s="4">
        <v>0.4</v>
      </c>
      <c r="M6" s="4">
        <v>0.8</v>
      </c>
    </row>
    <row r="7" spans="1:13" ht="27.6">
      <c r="A7" s="1" t="s">
        <v>72</v>
      </c>
      <c r="B7" s="1" t="s">
        <v>484</v>
      </c>
      <c r="C7" s="1" t="s">
        <v>73</v>
      </c>
      <c r="D7" s="1" t="s">
        <v>74</v>
      </c>
      <c r="E7" s="1" t="s">
        <v>75</v>
      </c>
      <c r="F7" s="1" t="s">
        <v>73</v>
      </c>
      <c r="G7" s="1" t="s">
        <v>58</v>
      </c>
      <c r="H7" s="1" t="s">
        <v>76</v>
      </c>
      <c r="I7" s="1" t="s">
        <v>77</v>
      </c>
      <c r="J7" s="1" t="s">
        <v>78</v>
      </c>
      <c r="K7" s="4">
        <v>12</v>
      </c>
      <c r="L7" s="4">
        <v>0.25</v>
      </c>
      <c r="M7" s="4">
        <v>0.5</v>
      </c>
    </row>
    <row r="8" spans="1:13" ht="27.6">
      <c r="A8" s="1" t="s">
        <v>79</v>
      </c>
      <c r="B8" s="1" t="s">
        <v>483</v>
      </c>
      <c r="C8" s="1" t="s">
        <v>73</v>
      </c>
      <c r="D8" s="1" t="s">
        <v>74</v>
      </c>
      <c r="E8" s="1" t="s">
        <v>75</v>
      </c>
      <c r="F8" s="1" t="s">
        <v>73</v>
      </c>
      <c r="G8" s="1" t="s">
        <v>58</v>
      </c>
      <c r="H8" s="1" t="s">
        <v>76</v>
      </c>
      <c r="I8" s="1" t="s">
        <v>77</v>
      </c>
      <c r="J8" s="1" t="s">
        <v>78</v>
      </c>
      <c r="K8" s="4">
        <v>5</v>
      </c>
      <c r="L8" s="4">
        <v>0.1</v>
      </c>
      <c r="M8" s="4">
        <v>0.2</v>
      </c>
    </row>
    <row r="9" spans="1:13" ht="27.6">
      <c r="A9" s="1" t="s">
        <v>80</v>
      </c>
      <c r="B9" s="1" t="s">
        <v>64</v>
      </c>
      <c r="C9" s="1" t="s">
        <v>73</v>
      </c>
      <c r="D9" s="1" t="s">
        <v>74</v>
      </c>
      <c r="E9" s="1" t="s">
        <v>75</v>
      </c>
      <c r="F9" s="1" t="s">
        <v>73</v>
      </c>
      <c r="G9" s="1" t="s">
        <v>58</v>
      </c>
      <c r="H9" s="1" t="s">
        <v>76</v>
      </c>
      <c r="I9" s="1" t="s">
        <v>77</v>
      </c>
      <c r="J9" s="1" t="s">
        <v>78</v>
      </c>
      <c r="K9" s="4">
        <v>3</v>
      </c>
      <c r="L9" s="4">
        <v>0.05</v>
      </c>
      <c r="M9" s="4">
        <v>0.1</v>
      </c>
    </row>
    <row r="10" spans="1:13">
      <c r="A10" s="1" t="s">
        <v>81</v>
      </c>
      <c r="B10" s="1" t="s">
        <v>484</v>
      </c>
      <c r="C10" s="1" t="s">
        <v>82</v>
      </c>
      <c r="D10" s="1" t="s">
        <v>74</v>
      </c>
      <c r="E10" s="1" t="s">
        <v>83</v>
      </c>
      <c r="F10" s="1" t="s">
        <v>73</v>
      </c>
      <c r="G10" s="1" t="s">
        <v>58</v>
      </c>
      <c r="H10" s="1" t="s">
        <v>84</v>
      </c>
      <c r="I10" s="1" t="s">
        <v>60</v>
      </c>
      <c r="J10" s="1" t="s">
        <v>61</v>
      </c>
      <c r="K10" s="4">
        <v>1.8</v>
      </c>
      <c r="L10" s="4">
        <v>0.2</v>
      </c>
      <c r="M10" s="4">
        <v>0.25</v>
      </c>
    </row>
    <row r="11" spans="1:13">
      <c r="A11" s="1" t="s">
        <v>85</v>
      </c>
      <c r="B11" s="1" t="s">
        <v>483</v>
      </c>
      <c r="C11" s="1" t="s">
        <v>86</v>
      </c>
      <c r="D11" s="1" t="s">
        <v>74</v>
      </c>
      <c r="E11" s="1" t="s">
        <v>83</v>
      </c>
      <c r="F11" s="1" t="s">
        <v>73</v>
      </c>
      <c r="G11" s="1" t="s">
        <v>58</v>
      </c>
      <c r="H11" s="1" t="s">
        <v>87</v>
      </c>
      <c r="I11" s="1" t="s">
        <v>60</v>
      </c>
      <c r="J11" s="1" t="s">
        <v>61</v>
      </c>
      <c r="K11" s="4">
        <v>1.2</v>
      </c>
      <c r="L11" s="4">
        <v>0.1</v>
      </c>
      <c r="M11" s="4">
        <v>0.15</v>
      </c>
    </row>
    <row r="12" spans="1:13" ht="27.6">
      <c r="A12" s="1" t="s">
        <v>88</v>
      </c>
      <c r="B12" s="1" t="s">
        <v>64</v>
      </c>
      <c r="C12" s="1" t="s">
        <v>73</v>
      </c>
      <c r="D12" s="1" t="s">
        <v>74</v>
      </c>
      <c r="E12" s="1" t="s">
        <v>89</v>
      </c>
      <c r="F12" s="1" t="s">
        <v>73</v>
      </c>
      <c r="G12" s="1" t="s">
        <v>58</v>
      </c>
      <c r="H12" s="1" t="s">
        <v>76</v>
      </c>
      <c r="I12" s="1" t="s">
        <v>70</v>
      </c>
      <c r="J12" s="1" t="s">
        <v>78</v>
      </c>
      <c r="K12" s="4">
        <v>2</v>
      </c>
      <c r="L12" s="4">
        <v>0.2</v>
      </c>
      <c r="M12" s="4">
        <v>0.3</v>
      </c>
    </row>
    <row r="13" spans="1:13">
      <c r="A13" s="1" t="s">
        <v>90</v>
      </c>
      <c r="B13" s="1" t="s">
        <v>484</v>
      </c>
      <c r="C13" s="1" t="s">
        <v>82</v>
      </c>
      <c r="D13" s="1" t="s">
        <v>67</v>
      </c>
      <c r="E13" s="1" t="s">
        <v>91</v>
      </c>
      <c r="F13" s="1" t="s">
        <v>73</v>
      </c>
      <c r="G13" s="1" t="s">
        <v>58</v>
      </c>
      <c r="H13" s="1" t="s">
        <v>84</v>
      </c>
      <c r="I13" s="1" t="s">
        <v>60</v>
      </c>
      <c r="J13" s="1" t="s">
        <v>61</v>
      </c>
      <c r="K13" s="4">
        <v>3.2</v>
      </c>
      <c r="L13" s="4">
        <v>0.2</v>
      </c>
      <c r="M13" s="4">
        <v>0.3</v>
      </c>
    </row>
    <row r="14" spans="1:13">
      <c r="A14" s="1" t="s">
        <v>92</v>
      </c>
      <c r="B14" s="1" t="s">
        <v>483</v>
      </c>
      <c r="C14" s="1" t="s">
        <v>86</v>
      </c>
      <c r="D14" s="1" t="s">
        <v>67</v>
      </c>
      <c r="E14" s="1" t="s">
        <v>91</v>
      </c>
      <c r="F14" s="1" t="s">
        <v>73</v>
      </c>
      <c r="G14" s="1" t="s">
        <v>58</v>
      </c>
      <c r="H14" s="1" t="s">
        <v>87</v>
      </c>
      <c r="I14" s="1" t="s">
        <v>60</v>
      </c>
      <c r="J14" s="1" t="s">
        <v>61</v>
      </c>
      <c r="K14" s="4">
        <v>1.8</v>
      </c>
      <c r="L14" s="4">
        <v>0.1</v>
      </c>
      <c r="M14" s="4">
        <v>0.2</v>
      </c>
    </row>
    <row r="15" spans="1:13" ht="27.6">
      <c r="A15" s="1" t="s">
        <v>93</v>
      </c>
      <c r="B15" s="1" t="s">
        <v>484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58</v>
      </c>
      <c r="H15" s="1" t="s">
        <v>98</v>
      </c>
      <c r="I15" s="1" t="s">
        <v>60</v>
      </c>
      <c r="J15" s="1" t="s">
        <v>78</v>
      </c>
      <c r="K15" s="4">
        <v>8</v>
      </c>
      <c r="L15" s="4">
        <v>0.2</v>
      </c>
      <c r="M15" s="4">
        <v>0.3</v>
      </c>
    </row>
    <row r="16" spans="1:13">
      <c r="A16" s="1" t="s">
        <v>99</v>
      </c>
      <c r="B16" s="1" t="s">
        <v>484</v>
      </c>
      <c r="C16" s="1" t="s">
        <v>100</v>
      </c>
      <c r="D16" s="1" t="s">
        <v>95</v>
      </c>
      <c r="E16" s="1" t="s">
        <v>101</v>
      </c>
      <c r="F16" s="1" t="s">
        <v>97</v>
      </c>
      <c r="G16" s="1" t="s">
        <v>58</v>
      </c>
      <c r="H16" s="1" t="s">
        <v>102</v>
      </c>
      <c r="I16" s="1" t="s">
        <v>60</v>
      </c>
      <c r="J16" s="1" t="s">
        <v>78</v>
      </c>
      <c r="K16" s="4">
        <v>6</v>
      </c>
      <c r="L16" s="4">
        <v>0.15</v>
      </c>
      <c r="M16" s="4">
        <v>0.25</v>
      </c>
    </row>
    <row r="17" spans="1:13">
      <c r="A17" s="1" t="s">
        <v>103</v>
      </c>
      <c r="B17" s="1" t="s">
        <v>484</v>
      </c>
      <c r="C17" s="1" t="s">
        <v>104</v>
      </c>
      <c r="D17" s="1" t="s">
        <v>95</v>
      </c>
      <c r="E17" s="1" t="s">
        <v>105</v>
      </c>
      <c r="F17" s="1" t="s">
        <v>97</v>
      </c>
      <c r="G17" s="1" t="s">
        <v>58</v>
      </c>
      <c r="H17" s="1" t="s">
        <v>106</v>
      </c>
      <c r="I17" s="1" t="s">
        <v>60</v>
      </c>
      <c r="J17" s="1" t="s">
        <v>61</v>
      </c>
      <c r="K17" s="4">
        <v>4</v>
      </c>
      <c r="L17" s="4">
        <v>0.15</v>
      </c>
      <c r="M17" s="4">
        <v>0.25</v>
      </c>
    </row>
    <row r="18" spans="1:13">
      <c r="A18" s="1" t="s">
        <v>107</v>
      </c>
      <c r="B18" s="1" t="s">
        <v>483</v>
      </c>
      <c r="C18" s="1" t="s">
        <v>86</v>
      </c>
      <c r="D18" s="1" t="s">
        <v>95</v>
      </c>
      <c r="E18" s="1" t="s">
        <v>108</v>
      </c>
      <c r="F18" s="1" t="s">
        <v>97</v>
      </c>
      <c r="G18" s="1" t="s">
        <v>58</v>
      </c>
      <c r="H18" s="1" t="s">
        <v>87</v>
      </c>
      <c r="I18" s="1" t="s">
        <v>60</v>
      </c>
      <c r="J18" s="1" t="s">
        <v>78</v>
      </c>
      <c r="K18" s="4">
        <v>4</v>
      </c>
      <c r="L18" s="4">
        <v>0.15</v>
      </c>
      <c r="M18" s="4">
        <v>0.35</v>
      </c>
    </row>
    <row r="19" spans="1:13" ht="27.6">
      <c r="A19" s="1" t="s">
        <v>109</v>
      </c>
      <c r="B19" s="1" t="s">
        <v>64</v>
      </c>
      <c r="C19" s="1" t="s">
        <v>110</v>
      </c>
      <c r="D19" s="1" t="s">
        <v>95</v>
      </c>
      <c r="E19" s="1" t="s">
        <v>111</v>
      </c>
      <c r="F19" s="1" t="s">
        <v>97</v>
      </c>
      <c r="G19" s="1" t="s">
        <v>58</v>
      </c>
      <c r="H19" s="1" t="s">
        <v>112</v>
      </c>
      <c r="I19" s="1" t="s">
        <v>70</v>
      </c>
      <c r="J19" s="1" t="s">
        <v>61</v>
      </c>
      <c r="K19" s="4">
        <v>3</v>
      </c>
      <c r="L19" s="4">
        <v>0.15</v>
      </c>
      <c r="M19" s="4">
        <v>0.35</v>
      </c>
    </row>
    <row r="20" spans="1:13">
      <c r="A20" s="1" t="s">
        <v>113</v>
      </c>
      <c r="B20" s="1" t="s">
        <v>484</v>
      </c>
      <c r="C20" s="1" t="s">
        <v>114</v>
      </c>
      <c r="D20" s="1" t="s">
        <v>115</v>
      </c>
      <c r="E20" s="1" t="s">
        <v>116</v>
      </c>
      <c r="F20" s="1" t="s">
        <v>117</v>
      </c>
      <c r="G20" s="1" t="s">
        <v>58</v>
      </c>
      <c r="H20" s="1" t="s">
        <v>118</v>
      </c>
      <c r="I20" s="1" t="s">
        <v>77</v>
      </c>
      <c r="J20" s="1" t="s">
        <v>61</v>
      </c>
      <c r="K20" s="4">
        <v>8</v>
      </c>
      <c r="L20" s="4">
        <v>-0.08</v>
      </c>
      <c r="M20" s="4">
        <v>0</v>
      </c>
    </row>
    <row r="21" spans="1:13">
      <c r="A21" s="1" t="s">
        <v>119</v>
      </c>
      <c r="B21" s="1" t="s">
        <v>64</v>
      </c>
      <c r="C21" s="1" t="s">
        <v>120</v>
      </c>
      <c r="D21" s="1" t="s">
        <v>121</v>
      </c>
      <c r="E21" s="1" t="s">
        <v>122</v>
      </c>
      <c r="F21" s="1" t="s">
        <v>117</v>
      </c>
      <c r="G21" s="1" t="s">
        <v>58</v>
      </c>
      <c r="H21" s="1" t="s">
        <v>123</v>
      </c>
      <c r="I21" s="1" t="s">
        <v>77</v>
      </c>
      <c r="J21" s="1" t="s">
        <v>78</v>
      </c>
      <c r="K21" s="4">
        <v>6</v>
      </c>
      <c r="L21" s="4">
        <v>-0.05</v>
      </c>
      <c r="M21" s="4">
        <v>0</v>
      </c>
    </row>
    <row r="22" spans="1:13">
      <c r="A22" s="1" t="s">
        <v>124</v>
      </c>
      <c r="B22" s="1" t="s">
        <v>64</v>
      </c>
      <c r="C22" s="1" t="s">
        <v>125</v>
      </c>
      <c r="D22" s="1" t="s">
        <v>121</v>
      </c>
      <c r="E22" s="1" t="s">
        <v>126</v>
      </c>
      <c r="F22" s="1" t="s">
        <v>117</v>
      </c>
      <c r="G22" s="1" t="s">
        <v>58</v>
      </c>
      <c r="H22" s="1" t="s">
        <v>127</v>
      </c>
      <c r="I22" s="1" t="s">
        <v>77</v>
      </c>
      <c r="J22" s="1" t="s">
        <v>78</v>
      </c>
      <c r="K22" s="4">
        <v>4</v>
      </c>
      <c r="L22" s="4">
        <v>-0.03</v>
      </c>
      <c r="M22" s="4">
        <v>0</v>
      </c>
    </row>
    <row r="23" spans="1:13">
      <c r="A23" s="1" t="s">
        <v>128</v>
      </c>
      <c r="B23" s="1" t="s">
        <v>64</v>
      </c>
      <c r="C23" s="1" t="s">
        <v>110</v>
      </c>
      <c r="D23" s="1" t="s">
        <v>121</v>
      </c>
      <c r="E23" s="1" t="s">
        <v>129</v>
      </c>
      <c r="F23" s="1" t="s">
        <v>117</v>
      </c>
      <c r="G23" s="1" t="s">
        <v>58</v>
      </c>
      <c r="H23" s="1" t="s">
        <v>130</v>
      </c>
      <c r="I23" s="1" t="s">
        <v>77</v>
      </c>
      <c r="J23" s="1" t="s">
        <v>61</v>
      </c>
      <c r="K23" s="4">
        <v>3</v>
      </c>
      <c r="L23" s="4">
        <v>-0.02</v>
      </c>
      <c r="M23" s="4">
        <v>0</v>
      </c>
    </row>
    <row r="24" spans="1:13">
      <c r="A24" s="1" t="s">
        <v>131</v>
      </c>
      <c r="B24" s="1" t="s">
        <v>64</v>
      </c>
      <c r="C24" s="1" t="s">
        <v>110</v>
      </c>
      <c r="D24" s="1" t="s">
        <v>121</v>
      </c>
      <c r="E24" s="1" t="s">
        <v>132</v>
      </c>
      <c r="F24" s="1" t="s">
        <v>117</v>
      </c>
      <c r="G24" s="1" t="s">
        <v>58</v>
      </c>
      <c r="H24" s="1" t="s">
        <v>130</v>
      </c>
      <c r="I24" s="1" t="s">
        <v>77</v>
      </c>
      <c r="J24" s="1" t="s">
        <v>61</v>
      </c>
      <c r="K24" s="4">
        <v>4</v>
      </c>
      <c r="L24" s="4">
        <v>-0.02</v>
      </c>
      <c r="M24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opLeftCell="J1" workbookViewId="0">
      <selection activeCell="O1" sqref="O1:O1048576"/>
    </sheetView>
  </sheetViews>
  <sheetFormatPr defaultRowHeight="13.8"/>
  <cols>
    <col min="1" max="2" width="16" customWidth="1"/>
    <col min="3" max="10" width="23" customWidth="1"/>
    <col min="11" max="12" width="24.09765625" customWidth="1"/>
    <col min="13" max="13" width="25" customWidth="1"/>
    <col min="14" max="22" width="24.09765625" customWidth="1"/>
  </cols>
  <sheetData>
    <row r="1" spans="1:14">
      <c r="A1" s="2" t="s">
        <v>2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48</v>
      </c>
      <c r="J1" s="2" t="s">
        <v>49</v>
      </c>
      <c r="K1" s="2" t="s">
        <v>8</v>
      </c>
      <c r="L1" s="2" t="s">
        <v>133</v>
      </c>
      <c r="M1" s="2" t="s">
        <v>134</v>
      </c>
      <c r="N1" s="2" t="s">
        <v>135</v>
      </c>
    </row>
    <row r="2" spans="1:14" ht="27.6">
      <c r="A2" s="5">
        <v>46023</v>
      </c>
      <c r="B2" s="1" t="s">
        <v>53</v>
      </c>
      <c r="C2" s="1" t="s">
        <v>0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60</v>
      </c>
      <c r="J2" s="1" t="s">
        <v>61</v>
      </c>
      <c r="K2" s="1" t="s">
        <v>12</v>
      </c>
      <c r="L2" s="4">
        <v>0.5</v>
      </c>
      <c r="M2" s="4">
        <v>0.59799999999999998</v>
      </c>
      <c r="N2" s="6">
        <f t="shared" ref="N2:N65" si="0">M2-L2</f>
        <v>9.7999999999999976E-2</v>
      </c>
    </row>
    <row r="3" spans="1:14" ht="27.6">
      <c r="A3" s="5">
        <v>46054</v>
      </c>
      <c r="B3" s="1" t="s">
        <v>53</v>
      </c>
      <c r="C3" s="1" t="s">
        <v>0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60</v>
      </c>
      <c r="J3" s="1" t="s">
        <v>61</v>
      </c>
      <c r="K3" s="1" t="s">
        <v>12</v>
      </c>
      <c r="L3" s="4">
        <v>0.5</v>
      </c>
      <c r="M3" s="4">
        <v>0.60499999999999998</v>
      </c>
      <c r="N3" s="6">
        <f t="shared" si="0"/>
        <v>0.10499999999999998</v>
      </c>
    </row>
    <row r="4" spans="1:14" ht="27.6">
      <c r="A4" s="5">
        <v>46082</v>
      </c>
      <c r="B4" s="1" t="s">
        <v>53</v>
      </c>
      <c r="C4" s="1" t="s">
        <v>0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60</v>
      </c>
      <c r="J4" s="1" t="s">
        <v>61</v>
      </c>
      <c r="K4" s="1" t="s">
        <v>12</v>
      </c>
      <c r="L4" s="4">
        <v>0.5</v>
      </c>
      <c r="M4" s="4">
        <v>0.61199999999999999</v>
      </c>
      <c r="N4" s="6">
        <f t="shared" si="0"/>
        <v>0.11199999999999999</v>
      </c>
    </row>
    <row r="5" spans="1:14" ht="27.6">
      <c r="A5" s="5">
        <v>46113</v>
      </c>
      <c r="B5" s="1" t="s">
        <v>53</v>
      </c>
      <c r="C5" s="1" t="s">
        <v>0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60</v>
      </c>
      <c r="J5" s="1" t="s">
        <v>61</v>
      </c>
      <c r="K5" s="1" t="s">
        <v>12</v>
      </c>
      <c r="L5" s="4">
        <v>0.5</v>
      </c>
      <c r="M5" s="4">
        <v>0.61899999999999999</v>
      </c>
      <c r="N5" s="6">
        <f t="shared" si="0"/>
        <v>0.11899999999999999</v>
      </c>
    </row>
    <row r="6" spans="1:14" ht="27.6">
      <c r="A6" s="5">
        <v>46143</v>
      </c>
      <c r="B6" s="1" t="s">
        <v>53</v>
      </c>
      <c r="C6" s="1" t="s">
        <v>0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60</v>
      </c>
      <c r="J6" s="1" t="s">
        <v>61</v>
      </c>
      <c r="K6" s="1" t="s">
        <v>12</v>
      </c>
      <c r="L6" s="4">
        <v>0.5</v>
      </c>
      <c r="M6" s="4">
        <v>0.626</v>
      </c>
      <c r="N6" s="6">
        <f t="shared" si="0"/>
        <v>0.126</v>
      </c>
    </row>
    <row r="7" spans="1:14" ht="27.6">
      <c r="A7" s="5">
        <v>46174</v>
      </c>
      <c r="B7" s="1" t="s">
        <v>53</v>
      </c>
      <c r="C7" s="1" t="s">
        <v>0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60</v>
      </c>
      <c r="J7" s="1" t="s">
        <v>61</v>
      </c>
      <c r="K7" s="1" t="s">
        <v>12</v>
      </c>
      <c r="L7" s="4">
        <v>0.5</v>
      </c>
      <c r="M7" s="4">
        <v>0.64</v>
      </c>
      <c r="N7" s="6">
        <f t="shared" si="0"/>
        <v>0.14000000000000001</v>
      </c>
    </row>
    <row r="8" spans="1:14" ht="27.6">
      <c r="A8" s="5">
        <v>46204</v>
      </c>
      <c r="B8" s="1" t="s">
        <v>53</v>
      </c>
      <c r="C8" s="1" t="s">
        <v>0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60</v>
      </c>
      <c r="J8" s="1" t="s">
        <v>61</v>
      </c>
      <c r="K8" s="1" t="s">
        <v>27</v>
      </c>
      <c r="L8" s="4">
        <v>0.5</v>
      </c>
      <c r="M8" s="4">
        <v>0.60399999999999998</v>
      </c>
      <c r="N8" s="6">
        <f t="shared" si="0"/>
        <v>0.10399999999999998</v>
      </c>
    </row>
    <row r="9" spans="1:14" ht="27.6">
      <c r="A9" s="5">
        <v>46235</v>
      </c>
      <c r="B9" s="1" t="s">
        <v>53</v>
      </c>
      <c r="C9" s="1" t="s">
        <v>0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60</v>
      </c>
      <c r="J9" s="1" t="s">
        <v>61</v>
      </c>
      <c r="K9" s="1" t="s">
        <v>30</v>
      </c>
      <c r="L9" s="4">
        <v>0.5</v>
      </c>
      <c r="M9" s="4">
        <v>0.61199999999999999</v>
      </c>
      <c r="N9" s="6">
        <f t="shared" si="0"/>
        <v>0.11199999999999999</v>
      </c>
    </row>
    <row r="10" spans="1:14" ht="27.6">
      <c r="A10" s="5">
        <v>46266</v>
      </c>
      <c r="B10" s="1" t="s">
        <v>53</v>
      </c>
      <c r="C10" s="1" t="s">
        <v>0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60</v>
      </c>
      <c r="J10" s="1" t="s">
        <v>61</v>
      </c>
      <c r="K10" s="1" t="s">
        <v>30</v>
      </c>
      <c r="L10" s="4">
        <v>0.5</v>
      </c>
      <c r="M10" s="4">
        <v>0.62</v>
      </c>
      <c r="N10" s="6">
        <f t="shared" si="0"/>
        <v>0.12</v>
      </c>
    </row>
    <row r="11" spans="1:14" ht="27.6">
      <c r="A11" s="5">
        <v>46296</v>
      </c>
      <c r="B11" s="1" t="s">
        <v>53</v>
      </c>
      <c r="C11" s="1" t="s">
        <v>0</v>
      </c>
      <c r="D11" s="1" t="s">
        <v>54</v>
      </c>
      <c r="E11" s="1" t="s">
        <v>55</v>
      </c>
      <c r="F11" s="1" t="s">
        <v>56</v>
      </c>
      <c r="G11" s="1" t="s">
        <v>57</v>
      </c>
      <c r="H11" s="1" t="s">
        <v>58</v>
      </c>
      <c r="I11" s="1" t="s">
        <v>60</v>
      </c>
      <c r="J11" s="1" t="s">
        <v>61</v>
      </c>
      <c r="K11" s="1" t="s">
        <v>30</v>
      </c>
      <c r="L11" s="4">
        <v>0.5</v>
      </c>
      <c r="M11" s="4">
        <v>0.63600000000000001</v>
      </c>
      <c r="N11" s="6">
        <f t="shared" si="0"/>
        <v>0.13600000000000001</v>
      </c>
    </row>
    <row r="12" spans="1:14" ht="27.6">
      <c r="A12" s="5">
        <v>46327</v>
      </c>
      <c r="B12" s="1" t="s">
        <v>53</v>
      </c>
      <c r="C12" s="1" t="s">
        <v>0</v>
      </c>
      <c r="D12" s="1" t="s">
        <v>54</v>
      </c>
      <c r="E12" s="1" t="s">
        <v>55</v>
      </c>
      <c r="F12" s="1" t="s">
        <v>56</v>
      </c>
      <c r="G12" s="1" t="s">
        <v>57</v>
      </c>
      <c r="H12" s="1" t="s">
        <v>58</v>
      </c>
      <c r="I12" s="1" t="s">
        <v>60</v>
      </c>
      <c r="J12" s="1" t="s">
        <v>61</v>
      </c>
      <c r="K12" s="1" t="s">
        <v>30</v>
      </c>
      <c r="L12" s="4">
        <v>0.5</v>
      </c>
      <c r="M12" s="4">
        <v>0.65200000000000002</v>
      </c>
      <c r="N12" s="6">
        <f t="shared" si="0"/>
        <v>0.15200000000000002</v>
      </c>
    </row>
    <row r="13" spans="1:14" ht="27.6">
      <c r="A13" s="5">
        <v>46357</v>
      </c>
      <c r="B13" s="1" t="s">
        <v>53</v>
      </c>
      <c r="C13" s="1" t="s">
        <v>0</v>
      </c>
      <c r="D13" s="1" t="s">
        <v>54</v>
      </c>
      <c r="E13" s="1" t="s">
        <v>55</v>
      </c>
      <c r="F13" s="1" t="s">
        <v>56</v>
      </c>
      <c r="G13" s="1" t="s">
        <v>57</v>
      </c>
      <c r="H13" s="1" t="s">
        <v>58</v>
      </c>
      <c r="I13" s="1" t="s">
        <v>60</v>
      </c>
      <c r="J13" s="1" t="s">
        <v>61</v>
      </c>
      <c r="K13" s="1" t="s">
        <v>30</v>
      </c>
      <c r="L13" s="4">
        <v>0.5</v>
      </c>
      <c r="M13" s="4">
        <v>0.67600000000000005</v>
      </c>
      <c r="N13" s="6">
        <f t="shared" si="0"/>
        <v>0.17600000000000005</v>
      </c>
    </row>
    <row r="14" spans="1:14" ht="27.6">
      <c r="A14" s="5">
        <v>46023</v>
      </c>
      <c r="B14" s="1" t="s">
        <v>62</v>
      </c>
      <c r="C14" s="1" t="s">
        <v>1</v>
      </c>
      <c r="D14" s="1" t="s">
        <v>54</v>
      </c>
      <c r="E14" s="1" t="s">
        <v>55</v>
      </c>
      <c r="F14" s="1" t="s">
        <v>56</v>
      </c>
      <c r="G14" s="1" t="s">
        <v>57</v>
      </c>
      <c r="H14" s="1" t="s">
        <v>58</v>
      </c>
      <c r="I14" s="1" t="s">
        <v>60</v>
      </c>
      <c r="J14" s="1" t="s">
        <v>61</v>
      </c>
      <c r="K14" s="1" t="s">
        <v>12</v>
      </c>
      <c r="L14" s="4">
        <v>0.16669999999999999</v>
      </c>
      <c r="M14" s="4">
        <v>0.19470000000000001</v>
      </c>
      <c r="N14" s="6">
        <f t="shared" si="0"/>
        <v>2.8000000000000025E-2</v>
      </c>
    </row>
    <row r="15" spans="1:14" ht="27.6">
      <c r="A15" s="5">
        <v>46054</v>
      </c>
      <c r="B15" s="1" t="s">
        <v>62</v>
      </c>
      <c r="C15" s="1" t="s">
        <v>1</v>
      </c>
      <c r="D15" s="1" t="s">
        <v>54</v>
      </c>
      <c r="E15" s="1" t="s">
        <v>55</v>
      </c>
      <c r="F15" s="1" t="s">
        <v>56</v>
      </c>
      <c r="G15" s="1" t="s">
        <v>57</v>
      </c>
      <c r="H15" s="1" t="s">
        <v>58</v>
      </c>
      <c r="I15" s="1" t="s">
        <v>60</v>
      </c>
      <c r="J15" s="1" t="s">
        <v>61</v>
      </c>
      <c r="K15" s="1" t="s">
        <v>12</v>
      </c>
      <c r="L15" s="4">
        <v>0.16669999999999999</v>
      </c>
      <c r="M15" s="4">
        <v>0.19670000000000001</v>
      </c>
      <c r="N15" s="6">
        <f t="shared" si="0"/>
        <v>3.0000000000000027E-2</v>
      </c>
    </row>
    <row r="16" spans="1:14" ht="27.6">
      <c r="A16" s="5">
        <v>46082</v>
      </c>
      <c r="B16" s="1" t="s">
        <v>62</v>
      </c>
      <c r="C16" s="1" t="s">
        <v>1</v>
      </c>
      <c r="D16" s="1" t="s">
        <v>54</v>
      </c>
      <c r="E16" s="1" t="s">
        <v>55</v>
      </c>
      <c r="F16" s="1" t="s">
        <v>56</v>
      </c>
      <c r="G16" s="1" t="s">
        <v>57</v>
      </c>
      <c r="H16" s="1" t="s">
        <v>58</v>
      </c>
      <c r="I16" s="1" t="s">
        <v>60</v>
      </c>
      <c r="J16" s="1" t="s">
        <v>61</v>
      </c>
      <c r="K16" s="1" t="s">
        <v>12</v>
      </c>
      <c r="L16" s="4">
        <v>0.16669999999999999</v>
      </c>
      <c r="M16" s="4">
        <v>0.19869999999999999</v>
      </c>
      <c r="N16" s="6">
        <f t="shared" si="0"/>
        <v>3.2000000000000001E-2</v>
      </c>
    </row>
    <row r="17" spans="1:14" ht="27.6">
      <c r="A17" s="5">
        <v>46113</v>
      </c>
      <c r="B17" s="1" t="s">
        <v>62</v>
      </c>
      <c r="C17" s="1" t="s">
        <v>1</v>
      </c>
      <c r="D17" s="1" t="s">
        <v>54</v>
      </c>
      <c r="E17" s="1" t="s">
        <v>55</v>
      </c>
      <c r="F17" s="1" t="s">
        <v>56</v>
      </c>
      <c r="G17" s="1" t="s">
        <v>57</v>
      </c>
      <c r="H17" s="1" t="s">
        <v>58</v>
      </c>
      <c r="I17" s="1" t="s">
        <v>60</v>
      </c>
      <c r="J17" s="1" t="s">
        <v>61</v>
      </c>
      <c r="K17" s="1" t="s">
        <v>12</v>
      </c>
      <c r="L17" s="4">
        <v>0.16669999999999999</v>
      </c>
      <c r="M17" s="4">
        <v>0.20069999999999999</v>
      </c>
      <c r="N17" s="6">
        <f t="shared" si="0"/>
        <v>3.4000000000000002E-2</v>
      </c>
    </row>
    <row r="18" spans="1:14" ht="27.6">
      <c r="A18" s="5">
        <v>46143</v>
      </c>
      <c r="B18" s="1" t="s">
        <v>62</v>
      </c>
      <c r="C18" s="1" t="s">
        <v>1</v>
      </c>
      <c r="D18" s="1" t="s">
        <v>54</v>
      </c>
      <c r="E18" s="1" t="s">
        <v>55</v>
      </c>
      <c r="F18" s="1" t="s">
        <v>56</v>
      </c>
      <c r="G18" s="1" t="s">
        <v>57</v>
      </c>
      <c r="H18" s="1" t="s">
        <v>58</v>
      </c>
      <c r="I18" s="1" t="s">
        <v>60</v>
      </c>
      <c r="J18" s="1" t="s">
        <v>61</v>
      </c>
      <c r="K18" s="1" t="s">
        <v>12</v>
      </c>
      <c r="L18" s="4">
        <v>0.16669999999999999</v>
      </c>
      <c r="M18" s="4">
        <v>0.20269999999999999</v>
      </c>
      <c r="N18" s="6">
        <f t="shared" si="0"/>
        <v>3.6000000000000004E-2</v>
      </c>
    </row>
    <row r="19" spans="1:14" ht="27.6">
      <c r="A19" s="5">
        <v>46174</v>
      </c>
      <c r="B19" s="1" t="s">
        <v>62</v>
      </c>
      <c r="C19" s="1" t="s">
        <v>1</v>
      </c>
      <c r="D19" s="1" t="s">
        <v>54</v>
      </c>
      <c r="E19" s="1" t="s">
        <v>55</v>
      </c>
      <c r="F19" s="1" t="s">
        <v>56</v>
      </c>
      <c r="G19" s="1" t="s">
        <v>57</v>
      </c>
      <c r="H19" s="1" t="s">
        <v>58</v>
      </c>
      <c r="I19" s="1" t="s">
        <v>60</v>
      </c>
      <c r="J19" s="1" t="s">
        <v>61</v>
      </c>
      <c r="K19" s="1" t="s">
        <v>12</v>
      </c>
      <c r="L19" s="4">
        <v>0.16650000000000001</v>
      </c>
      <c r="M19" s="4">
        <v>0.20649999999999999</v>
      </c>
      <c r="N19" s="6">
        <f t="shared" si="0"/>
        <v>3.999999999999998E-2</v>
      </c>
    </row>
    <row r="20" spans="1:14" ht="27.6">
      <c r="A20" s="5">
        <v>46204</v>
      </c>
      <c r="B20" s="1" t="s">
        <v>62</v>
      </c>
      <c r="C20" s="1" t="s">
        <v>1</v>
      </c>
      <c r="D20" s="1" t="s">
        <v>54</v>
      </c>
      <c r="E20" s="1" t="s">
        <v>55</v>
      </c>
      <c r="F20" s="1" t="s">
        <v>56</v>
      </c>
      <c r="G20" s="1" t="s">
        <v>57</v>
      </c>
      <c r="H20" s="1" t="s">
        <v>58</v>
      </c>
      <c r="I20" s="1" t="s">
        <v>60</v>
      </c>
      <c r="J20" s="1" t="s">
        <v>61</v>
      </c>
      <c r="K20" s="1" t="s">
        <v>27</v>
      </c>
      <c r="L20" s="4">
        <v>0.16669999999999999</v>
      </c>
      <c r="M20" s="4">
        <v>0.20569999999999999</v>
      </c>
      <c r="N20" s="6">
        <f t="shared" si="0"/>
        <v>3.9000000000000007E-2</v>
      </c>
    </row>
    <row r="21" spans="1:14" ht="27.6">
      <c r="A21" s="5">
        <v>46235</v>
      </c>
      <c r="B21" s="1" t="s">
        <v>62</v>
      </c>
      <c r="C21" s="1" t="s">
        <v>1</v>
      </c>
      <c r="D21" s="1" t="s">
        <v>54</v>
      </c>
      <c r="E21" s="1" t="s">
        <v>55</v>
      </c>
      <c r="F21" s="1" t="s">
        <v>56</v>
      </c>
      <c r="G21" s="1" t="s">
        <v>57</v>
      </c>
      <c r="H21" s="1" t="s">
        <v>58</v>
      </c>
      <c r="I21" s="1" t="s">
        <v>60</v>
      </c>
      <c r="J21" s="1" t="s">
        <v>61</v>
      </c>
      <c r="K21" s="1" t="s">
        <v>30</v>
      </c>
      <c r="L21" s="4">
        <v>0.16669999999999999</v>
      </c>
      <c r="M21" s="4">
        <v>0.2087</v>
      </c>
      <c r="N21" s="6">
        <f t="shared" si="0"/>
        <v>4.200000000000001E-2</v>
      </c>
    </row>
    <row r="22" spans="1:14" ht="27.6">
      <c r="A22" s="5">
        <v>46266</v>
      </c>
      <c r="B22" s="1" t="s">
        <v>62</v>
      </c>
      <c r="C22" s="1" t="s">
        <v>1</v>
      </c>
      <c r="D22" s="1" t="s">
        <v>54</v>
      </c>
      <c r="E22" s="1" t="s">
        <v>55</v>
      </c>
      <c r="F22" s="1" t="s">
        <v>56</v>
      </c>
      <c r="G22" s="1" t="s">
        <v>57</v>
      </c>
      <c r="H22" s="1" t="s">
        <v>58</v>
      </c>
      <c r="I22" s="1" t="s">
        <v>60</v>
      </c>
      <c r="J22" s="1" t="s">
        <v>61</v>
      </c>
      <c r="K22" s="1" t="s">
        <v>30</v>
      </c>
      <c r="L22" s="4">
        <v>0.16669999999999999</v>
      </c>
      <c r="M22" s="4">
        <v>0.2117</v>
      </c>
      <c r="N22" s="6">
        <f t="shared" si="0"/>
        <v>4.5000000000000012E-2</v>
      </c>
    </row>
    <row r="23" spans="1:14" ht="27.6">
      <c r="A23" s="5">
        <v>46296</v>
      </c>
      <c r="B23" s="1" t="s">
        <v>62</v>
      </c>
      <c r="C23" s="1" t="s">
        <v>1</v>
      </c>
      <c r="D23" s="1" t="s">
        <v>54</v>
      </c>
      <c r="E23" s="1" t="s">
        <v>55</v>
      </c>
      <c r="F23" s="1" t="s">
        <v>56</v>
      </c>
      <c r="G23" s="1" t="s">
        <v>57</v>
      </c>
      <c r="H23" s="1" t="s">
        <v>58</v>
      </c>
      <c r="I23" s="1" t="s">
        <v>60</v>
      </c>
      <c r="J23" s="1" t="s">
        <v>61</v>
      </c>
      <c r="K23" s="1" t="s">
        <v>30</v>
      </c>
      <c r="L23" s="4">
        <v>0.16669999999999999</v>
      </c>
      <c r="M23" s="4">
        <v>0.2177</v>
      </c>
      <c r="N23" s="6">
        <f t="shared" si="0"/>
        <v>5.1000000000000018E-2</v>
      </c>
    </row>
    <row r="24" spans="1:14" ht="27.6">
      <c r="A24" s="5">
        <v>46327</v>
      </c>
      <c r="B24" s="1" t="s">
        <v>62</v>
      </c>
      <c r="C24" s="1" t="s">
        <v>1</v>
      </c>
      <c r="D24" s="1" t="s">
        <v>54</v>
      </c>
      <c r="E24" s="1" t="s">
        <v>55</v>
      </c>
      <c r="F24" s="1" t="s">
        <v>56</v>
      </c>
      <c r="G24" s="1" t="s">
        <v>57</v>
      </c>
      <c r="H24" s="1" t="s">
        <v>58</v>
      </c>
      <c r="I24" s="1" t="s">
        <v>60</v>
      </c>
      <c r="J24" s="1" t="s">
        <v>61</v>
      </c>
      <c r="K24" s="1" t="s">
        <v>30</v>
      </c>
      <c r="L24" s="4">
        <v>0.16669999999999999</v>
      </c>
      <c r="M24" s="4">
        <v>0.22370000000000001</v>
      </c>
      <c r="N24" s="6">
        <f t="shared" si="0"/>
        <v>5.7000000000000023E-2</v>
      </c>
    </row>
    <row r="25" spans="1:14" ht="27.6">
      <c r="A25" s="5">
        <v>46357</v>
      </c>
      <c r="B25" s="1" t="s">
        <v>62</v>
      </c>
      <c r="C25" s="1" t="s">
        <v>1</v>
      </c>
      <c r="D25" s="1" t="s">
        <v>54</v>
      </c>
      <c r="E25" s="1" t="s">
        <v>55</v>
      </c>
      <c r="F25" s="1" t="s">
        <v>56</v>
      </c>
      <c r="G25" s="1" t="s">
        <v>57</v>
      </c>
      <c r="H25" s="1" t="s">
        <v>58</v>
      </c>
      <c r="I25" s="1" t="s">
        <v>60</v>
      </c>
      <c r="J25" s="1" t="s">
        <v>61</v>
      </c>
      <c r="K25" s="1" t="s">
        <v>30</v>
      </c>
      <c r="L25" s="4">
        <v>0.16650000000000001</v>
      </c>
      <c r="M25" s="4">
        <v>0.23250000000000001</v>
      </c>
      <c r="N25" s="6">
        <f t="shared" si="0"/>
        <v>6.6000000000000003E-2</v>
      </c>
    </row>
    <row r="26" spans="1:14" ht="27.6">
      <c r="A26" s="5">
        <v>46023</v>
      </c>
      <c r="B26" s="1" t="s">
        <v>63</v>
      </c>
      <c r="C26" s="1" t="s">
        <v>64</v>
      </c>
      <c r="D26" s="1" t="s">
        <v>54</v>
      </c>
      <c r="E26" s="1" t="s">
        <v>55</v>
      </c>
      <c r="F26" s="1" t="s">
        <v>65</v>
      </c>
      <c r="G26" s="1" t="s">
        <v>57</v>
      </c>
      <c r="H26" s="1" t="s">
        <v>58</v>
      </c>
      <c r="I26" s="1" t="s">
        <v>60</v>
      </c>
      <c r="J26" s="1" t="s">
        <v>61</v>
      </c>
      <c r="K26" s="1" t="s">
        <v>12</v>
      </c>
      <c r="L26" s="4">
        <v>0.33329999999999999</v>
      </c>
      <c r="M26" s="4">
        <v>0.38929999999999998</v>
      </c>
      <c r="N26" s="6">
        <f t="shared" si="0"/>
        <v>5.5999999999999994E-2</v>
      </c>
    </row>
    <row r="27" spans="1:14" ht="27.6">
      <c r="A27" s="5">
        <v>46054</v>
      </c>
      <c r="B27" s="1" t="s">
        <v>63</v>
      </c>
      <c r="C27" s="1" t="s">
        <v>64</v>
      </c>
      <c r="D27" s="1" t="s">
        <v>54</v>
      </c>
      <c r="E27" s="1" t="s">
        <v>55</v>
      </c>
      <c r="F27" s="1" t="s">
        <v>65</v>
      </c>
      <c r="G27" s="1" t="s">
        <v>57</v>
      </c>
      <c r="H27" s="1" t="s">
        <v>58</v>
      </c>
      <c r="I27" s="1" t="s">
        <v>60</v>
      </c>
      <c r="J27" s="1" t="s">
        <v>61</v>
      </c>
      <c r="K27" s="1" t="s">
        <v>12</v>
      </c>
      <c r="L27" s="4">
        <v>0.33329999999999999</v>
      </c>
      <c r="M27" s="4">
        <v>0.39329999999999998</v>
      </c>
      <c r="N27" s="6">
        <f t="shared" si="0"/>
        <v>0.06</v>
      </c>
    </row>
    <row r="28" spans="1:14" ht="27.6">
      <c r="A28" s="5">
        <v>46082</v>
      </c>
      <c r="B28" s="1" t="s">
        <v>63</v>
      </c>
      <c r="C28" s="1" t="s">
        <v>64</v>
      </c>
      <c r="D28" s="1" t="s">
        <v>54</v>
      </c>
      <c r="E28" s="1" t="s">
        <v>55</v>
      </c>
      <c r="F28" s="1" t="s">
        <v>65</v>
      </c>
      <c r="G28" s="1" t="s">
        <v>57</v>
      </c>
      <c r="H28" s="1" t="s">
        <v>58</v>
      </c>
      <c r="I28" s="1" t="s">
        <v>60</v>
      </c>
      <c r="J28" s="1" t="s">
        <v>61</v>
      </c>
      <c r="K28" s="1" t="s">
        <v>12</v>
      </c>
      <c r="L28" s="4">
        <v>0.33329999999999999</v>
      </c>
      <c r="M28" s="4">
        <v>0.39729999999999999</v>
      </c>
      <c r="N28" s="6">
        <f t="shared" si="0"/>
        <v>6.4000000000000001E-2</v>
      </c>
    </row>
    <row r="29" spans="1:14" ht="27.6">
      <c r="A29" s="5">
        <v>46113</v>
      </c>
      <c r="B29" s="1" t="s">
        <v>63</v>
      </c>
      <c r="C29" s="1" t="s">
        <v>64</v>
      </c>
      <c r="D29" s="1" t="s">
        <v>54</v>
      </c>
      <c r="E29" s="1" t="s">
        <v>55</v>
      </c>
      <c r="F29" s="1" t="s">
        <v>65</v>
      </c>
      <c r="G29" s="1" t="s">
        <v>57</v>
      </c>
      <c r="H29" s="1" t="s">
        <v>58</v>
      </c>
      <c r="I29" s="1" t="s">
        <v>60</v>
      </c>
      <c r="J29" s="1" t="s">
        <v>61</v>
      </c>
      <c r="K29" s="1" t="s">
        <v>12</v>
      </c>
      <c r="L29" s="4">
        <v>0.33329999999999999</v>
      </c>
      <c r="M29" s="4">
        <v>0.40129999999999999</v>
      </c>
      <c r="N29" s="6">
        <f t="shared" si="0"/>
        <v>6.8000000000000005E-2</v>
      </c>
    </row>
    <row r="30" spans="1:14" ht="27.6">
      <c r="A30" s="5">
        <v>46143</v>
      </c>
      <c r="B30" s="1" t="s">
        <v>63</v>
      </c>
      <c r="C30" s="1" t="s">
        <v>64</v>
      </c>
      <c r="D30" s="1" t="s">
        <v>54</v>
      </c>
      <c r="E30" s="1" t="s">
        <v>55</v>
      </c>
      <c r="F30" s="1" t="s">
        <v>65</v>
      </c>
      <c r="G30" s="1" t="s">
        <v>57</v>
      </c>
      <c r="H30" s="1" t="s">
        <v>58</v>
      </c>
      <c r="I30" s="1" t="s">
        <v>60</v>
      </c>
      <c r="J30" s="1" t="s">
        <v>61</v>
      </c>
      <c r="K30" s="1" t="s">
        <v>12</v>
      </c>
      <c r="L30" s="4">
        <v>0.33329999999999999</v>
      </c>
      <c r="M30" s="4">
        <v>0.40529999999999999</v>
      </c>
      <c r="N30" s="6">
        <f t="shared" si="0"/>
        <v>7.2000000000000008E-2</v>
      </c>
    </row>
    <row r="31" spans="1:14" ht="27.6">
      <c r="A31" s="5">
        <v>46174</v>
      </c>
      <c r="B31" s="1" t="s">
        <v>63</v>
      </c>
      <c r="C31" s="1" t="s">
        <v>64</v>
      </c>
      <c r="D31" s="1" t="s">
        <v>54</v>
      </c>
      <c r="E31" s="1" t="s">
        <v>55</v>
      </c>
      <c r="F31" s="1" t="s">
        <v>65</v>
      </c>
      <c r="G31" s="1" t="s">
        <v>57</v>
      </c>
      <c r="H31" s="1" t="s">
        <v>58</v>
      </c>
      <c r="I31" s="1" t="s">
        <v>60</v>
      </c>
      <c r="J31" s="1" t="s">
        <v>61</v>
      </c>
      <c r="K31" s="1" t="s">
        <v>12</v>
      </c>
      <c r="L31" s="4">
        <v>0.33350000000000002</v>
      </c>
      <c r="M31" s="4">
        <v>0.41349999999999998</v>
      </c>
      <c r="N31" s="6">
        <f t="shared" si="0"/>
        <v>7.999999999999996E-2</v>
      </c>
    </row>
    <row r="32" spans="1:14" ht="27.6">
      <c r="A32" s="5">
        <v>46204</v>
      </c>
      <c r="B32" s="1" t="s">
        <v>63</v>
      </c>
      <c r="C32" s="1" t="s">
        <v>64</v>
      </c>
      <c r="D32" s="1" t="s">
        <v>54</v>
      </c>
      <c r="E32" s="1" t="s">
        <v>55</v>
      </c>
      <c r="F32" s="1" t="s">
        <v>65</v>
      </c>
      <c r="G32" s="1" t="s">
        <v>57</v>
      </c>
      <c r="H32" s="1" t="s">
        <v>58</v>
      </c>
      <c r="I32" s="1" t="s">
        <v>60</v>
      </c>
      <c r="J32" s="1" t="s">
        <v>61</v>
      </c>
      <c r="K32" s="1" t="s">
        <v>27</v>
      </c>
      <c r="L32" s="4">
        <v>0.33329999999999999</v>
      </c>
      <c r="M32" s="4">
        <v>0.38529999999999998</v>
      </c>
      <c r="N32" s="6">
        <f t="shared" si="0"/>
        <v>5.1999999999999991E-2</v>
      </c>
    </row>
    <row r="33" spans="1:14" ht="27.6">
      <c r="A33" s="5">
        <v>46235</v>
      </c>
      <c r="B33" s="1" t="s">
        <v>63</v>
      </c>
      <c r="C33" s="1" t="s">
        <v>64</v>
      </c>
      <c r="D33" s="1" t="s">
        <v>54</v>
      </c>
      <c r="E33" s="1" t="s">
        <v>55</v>
      </c>
      <c r="F33" s="1" t="s">
        <v>65</v>
      </c>
      <c r="G33" s="1" t="s">
        <v>57</v>
      </c>
      <c r="H33" s="1" t="s">
        <v>58</v>
      </c>
      <c r="I33" s="1" t="s">
        <v>60</v>
      </c>
      <c r="J33" s="1" t="s">
        <v>61</v>
      </c>
      <c r="K33" s="1" t="s">
        <v>30</v>
      </c>
      <c r="L33" s="4">
        <v>0.33329999999999999</v>
      </c>
      <c r="M33" s="4">
        <v>0.38929999999999998</v>
      </c>
      <c r="N33" s="6">
        <f t="shared" si="0"/>
        <v>5.5999999999999994E-2</v>
      </c>
    </row>
    <row r="34" spans="1:14" ht="27.6">
      <c r="A34" s="5">
        <v>46266</v>
      </c>
      <c r="B34" s="1" t="s">
        <v>63</v>
      </c>
      <c r="C34" s="1" t="s">
        <v>64</v>
      </c>
      <c r="D34" s="1" t="s">
        <v>54</v>
      </c>
      <c r="E34" s="1" t="s">
        <v>55</v>
      </c>
      <c r="F34" s="1" t="s">
        <v>65</v>
      </c>
      <c r="G34" s="1" t="s">
        <v>57</v>
      </c>
      <c r="H34" s="1" t="s">
        <v>58</v>
      </c>
      <c r="I34" s="1" t="s">
        <v>60</v>
      </c>
      <c r="J34" s="1" t="s">
        <v>61</v>
      </c>
      <c r="K34" s="1" t="s">
        <v>30</v>
      </c>
      <c r="L34" s="4">
        <v>0.33329999999999999</v>
      </c>
      <c r="M34" s="4">
        <v>0.39329999999999998</v>
      </c>
      <c r="N34" s="6">
        <f t="shared" si="0"/>
        <v>0.06</v>
      </c>
    </row>
    <row r="35" spans="1:14" ht="27.6">
      <c r="A35" s="5">
        <v>46296</v>
      </c>
      <c r="B35" s="1" t="s">
        <v>63</v>
      </c>
      <c r="C35" s="1" t="s">
        <v>64</v>
      </c>
      <c r="D35" s="1" t="s">
        <v>54</v>
      </c>
      <c r="E35" s="1" t="s">
        <v>55</v>
      </c>
      <c r="F35" s="1" t="s">
        <v>65</v>
      </c>
      <c r="G35" s="1" t="s">
        <v>57</v>
      </c>
      <c r="H35" s="1" t="s">
        <v>58</v>
      </c>
      <c r="I35" s="1" t="s">
        <v>60</v>
      </c>
      <c r="J35" s="1" t="s">
        <v>61</v>
      </c>
      <c r="K35" s="1" t="s">
        <v>30</v>
      </c>
      <c r="L35" s="4">
        <v>0.33329999999999999</v>
      </c>
      <c r="M35" s="4">
        <v>0.40129999999999999</v>
      </c>
      <c r="N35" s="6">
        <f t="shared" si="0"/>
        <v>6.8000000000000005E-2</v>
      </c>
    </row>
    <row r="36" spans="1:14" ht="27.6">
      <c r="A36" s="5">
        <v>46327</v>
      </c>
      <c r="B36" s="1" t="s">
        <v>63</v>
      </c>
      <c r="C36" s="1" t="s">
        <v>64</v>
      </c>
      <c r="D36" s="1" t="s">
        <v>54</v>
      </c>
      <c r="E36" s="1" t="s">
        <v>55</v>
      </c>
      <c r="F36" s="1" t="s">
        <v>65</v>
      </c>
      <c r="G36" s="1" t="s">
        <v>57</v>
      </c>
      <c r="H36" s="1" t="s">
        <v>58</v>
      </c>
      <c r="I36" s="1" t="s">
        <v>60</v>
      </c>
      <c r="J36" s="1" t="s">
        <v>61</v>
      </c>
      <c r="K36" s="1" t="s">
        <v>30</v>
      </c>
      <c r="L36" s="4">
        <v>0.33329999999999999</v>
      </c>
      <c r="M36" s="4">
        <v>0.4093</v>
      </c>
      <c r="N36" s="6">
        <f t="shared" si="0"/>
        <v>7.6000000000000012E-2</v>
      </c>
    </row>
    <row r="37" spans="1:14" ht="27.6">
      <c r="A37" s="5">
        <v>46357</v>
      </c>
      <c r="B37" s="1" t="s">
        <v>63</v>
      </c>
      <c r="C37" s="1" t="s">
        <v>64</v>
      </c>
      <c r="D37" s="1" t="s">
        <v>54</v>
      </c>
      <c r="E37" s="1" t="s">
        <v>55</v>
      </c>
      <c r="F37" s="1" t="s">
        <v>65</v>
      </c>
      <c r="G37" s="1" t="s">
        <v>57</v>
      </c>
      <c r="H37" s="1" t="s">
        <v>58</v>
      </c>
      <c r="I37" s="1" t="s">
        <v>60</v>
      </c>
      <c r="J37" s="1" t="s">
        <v>61</v>
      </c>
      <c r="K37" s="1" t="s">
        <v>30</v>
      </c>
      <c r="L37" s="4">
        <v>0.33350000000000002</v>
      </c>
      <c r="M37" s="4">
        <v>0.42149999999999999</v>
      </c>
      <c r="N37" s="6">
        <f t="shared" si="0"/>
        <v>8.7999999999999967E-2</v>
      </c>
    </row>
    <row r="38" spans="1:14" ht="27.6">
      <c r="A38" s="5">
        <v>46023</v>
      </c>
      <c r="B38" s="1" t="s">
        <v>66</v>
      </c>
      <c r="C38" s="1" t="s">
        <v>0</v>
      </c>
      <c r="D38" s="1" t="s">
        <v>54</v>
      </c>
      <c r="E38" s="1" t="s">
        <v>67</v>
      </c>
      <c r="F38" s="1" t="s">
        <v>68</v>
      </c>
      <c r="G38" s="1" t="s">
        <v>57</v>
      </c>
      <c r="H38" s="1" t="s">
        <v>69</v>
      </c>
      <c r="I38" s="1" t="s">
        <v>70</v>
      </c>
      <c r="J38" s="1" t="s">
        <v>61</v>
      </c>
      <c r="K38" s="1" t="s">
        <v>12</v>
      </c>
      <c r="L38" s="4">
        <v>0.41670000000000001</v>
      </c>
      <c r="M38" s="4">
        <v>0.51470000000000005</v>
      </c>
      <c r="N38" s="6">
        <f t="shared" si="0"/>
        <v>9.8000000000000032E-2</v>
      </c>
    </row>
    <row r="39" spans="1:14" ht="27.6">
      <c r="A39" s="5">
        <v>46054</v>
      </c>
      <c r="B39" s="1" t="s">
        <v>66</v>
      </c>
      <c r="C39" s="1" t="s">
        <v>0</v>
      </c>
      <c r="D39" s="1" t="s">
        <v>54</v>
      </c>
      <c r="E39" s="1" t="s">
        <v>67</v>
      </c>
      <c r="F39" s="1" t="s">
        <v>68</v>
      </c>
      <c r="G39" s="1" t="s">
        <v>57</v>
      </c>
      <c r="H39" s="1" t="s">
        <v>69</v>
      </c>
      <c r="I39" s="1" t="s">
        <v>70</v>
      </c>
      <c r="J39" s="1" t="s">
        <v>61</v>
      </c>
      <c r="K39" s="1" t="s">
        <v>12</v>
      </c>
      <c r="L39" s="4">
        <v>0.41670000000000001</v>
      </c>
      <c r="M39" s="4">
        <v>0.52170000000000005</v>
      </c>
      <c r="N39" s="6">
        <f t="shared" si="0"/>
        <v>0.10500000000000004</v>
      </c>
    </row>
    <row r="40" spans="1:14" ht="27.6">
      <c r="A40" s="5">
        <v>46082</v>
      </c>
      <c r="B40" s="1" t="s">
        <v>66</v>
      </c>
      <c r="C40" s="1" t="s">
        <v>0</v>
      </c>
      <c r="D40" s="1" t="s">
        <v>54</v>
      </c>
      <c r="E40" s="1" t="s">
        <v>67</v>
      </c>
      <c r="F40" s="1" t="s">
        <v>68</v>
      </c>
      <c r="G40" s="1" t="s">
        <v>57</v>
      </c>
      <c r="H40" s="1" t="s">
        <v>69</v>
      </c>
      <c r="I40" s="1" t="s">
        <v>70</v>
      </c>
      <c r="J40" s="1" t="s">
        <v>61</v>
      </c>
      <c r="K40" s="1" t="s">
        <v>12</v>
      </c>
      <c r="L40" s="4">
        <v>0.41670000000000001</v>
      </c>
      <c r="M40" s="4">
        <v>0.52869999999999995</v>
      </c>
      <c r="N40" s="6">
        <f t="shared" si="0"/>
        <v>0.11199999999999993</v>
      </c>
    </row>
    <row r="41" spans="1:14" ht="27.6">
      <c r="A41" s="5">
        <v>46113</v>
      </c>
      <c r="B41" s="1" t="s">
        <v>66</v>
      </c>
      <c r="C41" s="1" t="s">
        <v>0</v>
      </c>
      <c r="D41" s="1" t="s">
        <v>54</v>
      </c>
      <c r="E41" s="1" t="s">
        <v>67</v>
      </c>
      <c r="F41" s="1" t="s">
        <v>68</v>
      </c>
      <c r="G41" s="1" t="s">
        <v>57</v>
      </c>
      <c r="H41" s="1" t="s">
        <v>69</v>
      </c>
      <c r="I41" s="1" t="s">
        <v>70</v>
      </c>
      <c r="J41" s="1" t="s">
        <v>61</v>
      </c>
      <c r="K41" s="1" t="s">
        <v>12</v>
      </c>
      <c r="L41" s="4">
        <v>0.41670000000000001</v>
      </c>
      <c r="M41" s="4">
        <v>0.53569999999999995</v>
      </c>
      <c r="N41" s="6">
        <f t="shared" si="0"/>
        <v>0.11899999999999994</v>
      </c>
    </row>
    <row r="42" spans="1:14" ht="27.6">
      <c r="A42" s="5">
        <v>46143</v>
      </c>
      <c r="B42" s="1" t="s">
        <v>66</v>
      </c>
      <c r="C42" s="1" t="s">
        <v>0</v>
      </c>
      <c r="D42" s="1" t="s">
        <v>54</v>
      </c>
      <c r="E42" s="1" t="s">
        <v>67</v>
      </c>
      <c r="F42" s="1" t="s">
        <v>68</v>
      </c>
      <c r="G42" s="1" t="s">
        <v>57</v>
      </c>
      <c r="H42" s="1" t="s">
        <v>69</v>
      </c>
      <c r="I42" s="1" t="s">
        <v>70</v>
      </c>
      <c r="J42" s="1" t="s">
        <v>61</v>
      </c>
      <c r="K42" s="1" t="s">
        <v>12</v>
      </c>
      <c r="L42" s="4">
        <v>0.41670000000000001</v>
      </c>
      <c r="M42" s="4">
        <v>0.54269999999999996</v>
      </c>
      <c r="N42" s="6">
        <f t="shared" si="0"/>
        <v>0.12599999999999995</v>
      </c>
    </row>
    <row r="43" spans="1:14" ht="27.6">
      <c r="A43" s="5">
        <v>46174</v>
      </c>
      <c r="B43" s="1" t="s">
        <v>66</v>
      </c>
      <c r="C43" s="1" t="s">
        <v>0</v>
      </c>
      <c r="D43" s="1" t="s">
        <v>54</v>
      </c>
      <c r="E43" s="1" t="s">
        <v>67</v>
      </c>
      <c r="F43" s="1" t="s">
        <v>68</v>
      </c>
      <c r="G43" s="1" t="s">
        <v>57</v>
      </c>
      <c r="H43" s="1" t="s">
        <v>69</v>
      </c>
      <c r="I43" s="1" t="s">
        <v>70</v>
      </c>
      <c r="J43" s="1" t="s">
        <v>61</v>
      </c>
      <c r="K43" s="1" t="s">
        <v>12</v>
      </c>
      <c r="L43" s="4">
        <v>0.41649999999999998</v>
      </c>
      <c r="M43" s="4">
        <v>0.55649999999999999</v>
      </c>
      <c r="N43" s="6">
        <f t="shared" si="0"/>
        <v>0.14000000000000001</v>
      </c>
    </row>
    <row r="44" spans="1:14" ht="27.6">
      <c r="A44" s="5">
        <v>46204</v>
      </c>
      <c r="B44" s="1" t="s">
        <v>66</v>
      </c>
      <c r="C44" s="1" t="s">
        <v>0</v>
      </c>
      <c r="D44" s="1" t="s">
        <v>54</v>
      </c>
      <c r="E44" s="1" t="s">
        <v>67</v>
      </c>
      <c r="F44" s="1" t="s">
        <v>68</v>
      </c>
      <c r="G44" s="1" t="s">
        <v>57</v>
      </c>
      <c r="H44" s="1" t="s">
        <v>69</v>
      </c>
      <c r="I44" s="1" t="s">
        <v>70</v>
      </c>
      <c r="J44" s="1" t="s">
        <v>61</v>
      </c>
      <c r="K44" s="1" t="s">
        <v>27</v>
      </c>
      <c r="L44" s="4">
        <v>0.41670000000000001</v>
      </c>
      <c r="M44" s="4">
        <v>0.50770000000000004</v>
      </c>
      <c r="N44" s="6">
        <f t="shared" si="0"/>
        <v>9.1000000000000025E-2</v>
      </c>
    </row>
    <row r="45" spans="1:14" ht="27.6">
      <c r="A45" s="5">
        <v>46235</v>
      </c>
      <c r="B45" s="1" t="s">
        <v>66</v>
      </c>
      <c r="C45" s="1" t="s">
        <v>0</v>
      </c>
      <c r="D45" s="1" t="s">
        <v>54</v>
      </c>
      <c r="E45" s="1" t="s">
        <v>67</v>
      </c>
      <c r="F45" s="1" t="s">
        <v>68</v>
      </c>
      <c r="G45" s="1" t="s">
        <v>57</v>
      </c>
      <c r="H45" s="1" t="s">
        <v>69</v>
      </c>
      <c r="I45" s="1" t="s">
        <v>70</v>
      </c>
      <c r="J45" s="1" t="s">
        <v>61</v>
      </c>
      <c r="K45" s="1" t="s">
        <v>30</v>
      </c>
      <c r="L45" s="4">
        <v>0.41670000000000001</v>
      </c>
      <c r="M45" s="4">
        <v>0.51470000000000005</v>
      </c>
      <c r="N45" s="6">
        <f t="shared" si="0"/>
        <v>9.8000000000000032E-2</v>
      </c>
    </row>
    <row r="46" spans="1:14" ht="27.6">
      <c r="A46" s="5">
        <v>46266</v>
      </c>
      <c r="B46" s="1" t="s">
        <v>66</v>
      </c>
      <c r="C46" s="1" t="s">
        <v>0</v>
      </c>
      <c r="D46" s="1" t="s">
        <v>54</v>
      </c>
      <c r="E46" s="1" t="s">
        <v>67</v>
      </c>
      <c r="F46" s="1" t="s">
        <v>68</v>
      </c>
      <c r="G46" s="1" t="s">
        <v>57</v>
      </c>
      <c r="H46" s="1" t="s">
        <v>69</v>
      </c>
      <c r="I46" s="1" t="s">
        <v>70</v>
      </c>
      <c r="J46" s="1" t="s">
        <v>61</v>
      </c>
      <c r="K46" s="1" t="s">
        <v>30</v>
      </c>
      <c r="L46" s="4">
        <v>0.41670000000000001</v>
      </c>
      <c r="M46" s="4">
        <v>0.52170000000000005</v>
      </c>
      <c r="N46" s="6">
        <f t="shared" si="0"/>
        <v>0.10500000000000004</v>
      </c>
    </row>
    <row r="47" spans="1:14" ht="27.6">
      <c r="A47" s="5">
        <v>46296</v>
      </c>
      <c r="B47" s="1" t="s">
        <v>66</v>
      </c>
      <c r="C47" s="1" t="s">
        <v>0</v>
      </c>
      <c r="D47" s="1" t="s">
        <v>54</v>
      </c>
      <c r="E47" s="1" t="s">
        <v>67</v>
      </c>
      <c r="F47" s="1" t="s">
        <v>68</v>
      </c>
      <c r="G47" s="1" t="s">
        <v>57</v>
      </c>
      <c r="H47" s="1" t="s">
        <v>69</v>
      </c>
      <c r="I47" s="1" t="s">
        <v>70</v>
      </c>
      <c r="J47" s="1" t="s">
        <v>61</v>
      </c>
      <c r="K47" s="1" t="s">
        <v>30</v>
      </c>
      <c r="L47" s="4">
        <v>0.41670000000000001</v>
      </c>
      <c r="M47" s="4">
        <v>0.53569999999999995</v>
      </c>
      <c r="N47" s="6">
        <f t="shared" si="0"/>
        <v>0.11899999999999994</v>
      </c>
    </row>
    <row r="48" spans="1:14" ht="27.6">
      <c r="A48" s="5">
        <v>46327</v>
      </c>
      <c r="B48" s="1" t="s">
        <v>66</v>
      </c>
      <c r="C48" s="1" t="s">
        <v>0</v>
      </c>
      <c r="D48" s="1" t="s">
        <v>54</v>
      </c>
      <c r="E48" s="1" t="s">
        <v>67</v>
      </c>
      <c r="F48" s="1" t="s">
        <v>68</v>
      </c>
      <c r="G48" s="1" t="s">
        <v>57</v>
      </c>
      <c r="H48" s="1" t="s">
        <v>69</v>
      </c>
      <c r="I48" s="1" t="s">
        <v>70</v>
      </c>
      <c r="J48" s="1" t="s">
        <v>61</v>
      </c>
      <c r="K48" s="1" t="s">
        <v>30</v>
      </c>
      <c r="L48" s="4">
        <v>0.41670000000000001</v>
      </c>
      <c r="M48" s="4">
        <v>0.54969999999999997</v>
      </c>
      <c r="N48" s="6">
        <f t="shared" si="0"/>
        <v>0.13299999999999995</v>
      </c>
    </row>
    <row r="49" spans="1:14" ht="27.6">
      <c r="A49" s="5">
        <v>46357</v>
      </c>
      <c r="B49" s="1" t="s">
        <v>66</v>
      </c>
      <c r="C49" s="1" t="s">
        <v>0</v>
      </c>
      <c r="D49" s="1" t="s">
        <v>54</v>
      </c>
      <c r="E49" s="1" t="s">
        <v>67</v>
      </c>
      <c r="F49" s="1" t="s">
        <v>68</v>
      </c>
      <c r="G49" s="1" t="s">
        <v>57</v>
      </c>
      <c r="H49" s="1" t="s">
        <v>69</v>
      </c>
      <c r="I49" s="1" t="s">
        <v>70</v>
      </c>
      <c r="J49" s="1" t="s">
        <v>61</v>
      </c>
      <c r="K49" s="1" t="s">
        <v>30</v>
      </c>
      <c r="L49" s="4">
        <v>0.41649999999999998</v>
      </c>
      <c r="M49" s="4">
        <v>0.57050000000000001</v>
      </c>
      <c r="N49" s="6">
        <f t="shared" si="0"/>
        <v>0.15400000000000003</v>
      </c>
    </row>
    <row r="50" spans="1:14" ht="27.6">
      <c r="A50" s="5">
        <v>46023</v>
      </c>
      <c r="B50" s="1" t="s">
        <v>71</v>
      </c>
      <c r="C50" s="1" t="s">
        <v>64</v>
      </c>
      <c r="D50" s="1" t="s">
        <v>54</v>
      </c>
      <c r="E50" s="1" t="s">
        <v>67</v>
      </c>
      <c r="F50" s="1" t="s">
        <v>68</v>
      </c>
      <c r="G50" s="1" t="s">
        <v>57</v>
      </c>
      <c r="H50" s="1" t="s">
        <v>69</v>
      </c>
      <c r="I50" s="1" t="s">
        <v>70</v>
      </c>
      <c r="J50" s="1" t="s">
        <v>61</v>
      </c>
      <c r="K50" s="1" t="s">
        <v>12</v>
      </c>
      <c r="L50" s="4">
        <v>0.25</v>
      </c>
      <c r="M50" s="4">
        <v>0.30599999999999999</v>
      </c>
      <c r="N50" s="6">
        <f t="shared" si="0"/>
        <v>5.5999999999999994E-2</v>
      </c>
    </row>
    <row r="51" spans="1:14" ht="27.6">
      <c r="A51" s="5">
        <v>46054</v>
      </c>
      <c r="B51" s="1" t="s">
        <v>71</v>
      </c>
      <c r="C51" s="1" t="s">
        <v>64</v>
      </c>
      <c r="D51" s="1" t="s">
        <v>54</v>
      </c>
      <c r="E51" s="1" t="s">
        <v>67</v>
      </c>
      <c r="F51" s="1" t="s">
        <v>68</v>
      </c>
      <c r="G51" s="1" t="s">
        <v>57</v>
      </c>
      <c r="H51" s="1" t="s">
        <v>69</v>
      </c>
      <c r="I51" s="1" t="s">
        <v>70</v>
      </c>
      <c r="J51" s="1" t="s">
        <v>61</v>
      </c>
      <c r="K51" s="1" t="s">
        <v>12</v>
      </c>
      <c r="L51" s="4">
        <v>0.25</v>
      </c>
      <c r="M51" s="4">
        <v>0.31</v>
      </c>
      <c r="N51" s="6">
        <f t="shared" si="0"/>
        <v>0.06</v>
      </c>
    </row>
    <row r="52" spans="1:14" ht="27.6">
      <c r="A52" s="5">
        <v>46082</v>
      </c>
      <c r="B52" s="1" t="s">
        <v>71</v>
      </c>
      <c r="C52" s="1" t="s">
        <v>64</v>
      </c>
      <c r="D52" s="1" t="s">
        <v>54</v>
      </c>
      <c r="E52" s="1" t="s">
        <v>67</v>
      </c>
      <c r="F52" s="1" t="s">
        <v>68</v>
      </c>
      <c r="G52" s="1" t="s">
        <v>57</v>
      </c>
      <c r="H52" s="1" t="s">
        <v>69</v>
      </c>
      <c r="I52" s="1" t="s">
        <v>70</v>
      </c>
      <c r="J52" s="1" t="s">
        <v>61</v>
      </c>
      <c r="K52" s="1" t="s">
        <v>12</v>
      </c>
      <c r="L52" s="4">
        <v>0.25</v>
      </c>
      <c r="M52" s="4">
        <v>0.314</v>
      </c>
      <c r="N52" s="6">
        <f t="shared" si="0"/>
        <v>6.4000000000000001E-2</v>
      </c>
    </row>
    <row r="53" spans="1:14" ht="27.6">
      <c r="A53" s="5">
        <v>46113</v>
      </c>
      <c r="B53" s="1" t="s">
        <v>71</v>
      </c>
      <c r="C53" s="1" t="s">
        <v>64</v>
      </c>
      <c r="D53" s="1" t="s">
        <v>54</v>
      </c>
      <c r="E53" s="1" t="s">
        <v>67</v>
      </c>
      <c r="F53" s="1" t="s">
        <v>68</v>
      </c>
      <c r="G53" s="1" t="s">
        <v>57</v>
      </c>
      <c r="H53" s="1" t="s">
        <v>69</v>
      </c>
      <c r="I53" s="1" t="s">
        <v>70</v>
      </c>
      <c r="J53" s="1" t="s">
        <v>61</v>
      </c>
      <c r="K53" s="1" t="s">
        <v>12</v>
      </c>
      <c r="L53" s="4">
        <v>0.25</v>
      </c>
      <c r="M53" s="4">
        <v>0.318</v>
      </c>
      <c r="N53" s="6">
        <f t="shared" si="0"/>
        <v>6.8000000000000005E-2</v>
      </c>
    </row>
    <row r="54" spans="1:14" ht="27.6">
      <c r="A54" s="5">
        <v>46143</v>
      </c>
      <c r="B54" s="1" t="s">
        <v>71</v>
      </c>
      <c r="C54" s="1" t="s">
        <v>64</v>
      </c>
      <c r="D54" s="1" t="s">
        <v>54</v>
      </c>
      <c r="E54" s="1" t="s">
        <v>67</v>
      </c>
      <c r="F54" s="1" t="s">
        <v>68</v>
      </c>
      <c r="G54" s="1" t="s">
        <v>57</v>
      </c>
      <c r="H54" s="1" t="s">
        <v>69</v>
      </c>
      <c r="I54" s="1" t="s">
        <v>70</v>
      </c>
      <c r="J54" s="1" t="s">
        <v>61</v>
      </c>
      <c r="K54" s="1" t="s">
        <v>12</v>
      </c>
      <c r="L54" s="4">
        <v>0.25</v>
      </c>
      <c r="M54" s="4">
        <v>0.32200000000000001</v>
      </c>
      <c r="N54" s="6">
        <f t="shared" si="0"/>
        <v>7.2000000000000008E-2</v>
      </c>
    </row>
    <row r="55" spans="1:14" ht="27.6">
      <c r="A55" s="5">
        <v>46174</v>
      </c>
      <c r="B55" s="1" t="s">
        <v>71</v>
      </c>
      <c r="C55" s="1" t="s">
        <v>64</v>
      </c>
      <c r="D55" s="1" t="s">
        <v>54</v>
      </c>
      <c r="E55" s="1" t="s">
        <v>67</v>
      </c>
      <c r="F55" s="1" t="s">
        <v>68</v>
      </c>
      <c r="G55" s="1" t="s">
        <v>57</v>
      </c>
      <c r="H55" s="1" t="s">
        <v>69</v>
      </c>
      <c r="I55" s="1" t="s">
        <v>70</v>
      </c>
      <c r="J55" s="1" t="s">
        <v>61</v>
      </c>
      <c r="K55" s="1" t="s">
        <v>12</v>
      </c>
      <c r="L55" s="4">
        <v>0.25</v>
      </c>
      <c r="M55" s="4">
        <v>0.33</v>
      </c>
      <c r="N55" s="6">
        <f t="shared" si="0"/>
        <v>8.0000000000000016E-2</v>
      </c>
    </row>
    <row r="56" spans="1:14" ht="27.6">
      <c r="A56" s="5">
        <v>46204</v>
      </c>
      <c r="B56" s="1" t="s">
        <v>71</v>
      </c>
      <c r="C56" s="1" t="s">
        <v>64</v>
      </c>
      <c r="D56" s="1" t="s">
        <v>54</v>
      </c>
      <c r="E56" s="1" t="s">
        <v>67</v>
      </c>
      <c r="F56" s="1" t="s">
        <v>68</v>
      </c>
      <c r="G56" s="1" t="s">
        <v>57</v>
      </c>
      <c r="H56" s="1" t="s">
        <v>69</v>
      </c>
      <c r="I56" s="1" t="s">
        <v>70</v>
      </c>
      <c r="J56" s="1" t="s">
        <v>61</v>
      </c>
      <c r="K56" s="1" t="s">
        <v>27</v>
      </c>
      <c r="L56" s="4">
        <v>0.25</v>
      </c>
      <c r="M56" s="4">
        <v>0.30199999999999999</v>
      </c>
      <c r="N56" s="6">
        <f t="shared" si="0"/>
        <v>5.1999999999999991E-2</v>
      </c>
    </row>
    <row r="57" spans="1:14" ht="27.6">
      <c r="A57" s="5">
        <v>46235</v>
      </c>
      <c r="B57" s="1" t="s">
        <v>71</v>
      </c>
      <c r="C57" s="1" t="s">
        <v>64</v>
      </c>
      <c r="D57" s="1" t="s">
        <v>54</v>
      </c>
      <c r="E57" s="1" t="s">
        <v>67</v>
      </c>
      <c r="F57" s="1" t="s">
        <v>68</v>
      </c>
      <c r="G57" s="1" t="s">
        <v>57</v>
      </c>
      <c r="H57" s="1" t="s">
        <v>69</v>
      </c>
      <c r="I57" s="1" t="s">
        <v>70</v>
      </c>
      <c r="J57" s="1" t="s">
        <v>61</v>
      </c>
      <c r="K57" s="1" t="s">
        <v>30</v>
      </c>
      <c r="L57" s="4">
        <v>0.25</v>
      </c>
      <c r="M57" s="4">
        <v>0.30599999999999999</v>
      </c>
      <c r="N57" s="6">
        <f t="shared" si="0"/>
        <v>5.5999999999999994E-2</v>
      </c>
    </row>
    <row r="58" spans="1:14" ht="27.6">
      <c r="A58" s="5">
        <v>46266</v>
      </c>
      <c r="B58" s="1" t="s">
        <v>71</v>
      </c>
      <c r="C58" s="1" t="s">
        <v>64</v>
      </c>
      <c r="D58" s="1" t="s">
        <v>54</v>
      </c>
      <c r="E58" s="1" t="s">
        <v>67</v>
      </c>
      <c r="F58" s="1" t="s">
        <v>68</v>
      </c>
      <c r="G58" s="1" t="s">
        <v>57</v>
      </c>
      <c r="H58" s="1" t="s">
        <v>69</v>
      </c>
      <c r="I58" s="1" t="s">
        <v>70</v>
      </c>
      <c r="J58" s="1" t="s">
        <v>61</v>
      </c>
      <c r="K58" s="1" t="s">
        <v>30</v>
      </c>
      <c r="L58" s="4">
        <v>0.25</v>
      </c>
      <c r="M58" s="4">
        <v>0.31</v>
      </c>
      <c r="N58" s="6">
        <f t="shared" si="0"/>
        <v>0.06</v>
      </c>
    </row>
    <row r="59" spans="1:14" ht="27.6">
      <c r="A59" s="5">
        <v>46296</v>
      </c>
      <c r="B59" s="1" t="s">
        <v>71</v>
      </c>
      <c r="C59" s="1" t="s">
        <v>64</v>
      </c>
      <c r="D59" s="1" t="s">
        <v>54</v>
      </c>
      <c r="E59" s="1" t="s">
        <v>67</v>
      </c>
      <c r="F59" s="1" t="s">
        <v>68</v>
      </c>
      <c r="G59" s="1" t="s">
        <v>57</v>
      </c>
      <c r="H59" s="1" t="s">
        <v>69</v>
      </c>
      <c r="I59" s="1" t="s">
        <v>70</v>
      </c>
      <c r="J59" s="1" t="s">
        <v>61</v>
      </c>
      <c r="K59" s="1" t="s">
        <v>30</v>
      </c>
      <c r="L59" s="4">
        <v>0.25</v>
      </c>
      <c r="M59" s="4">
        <v>0.318</v>
      </c>
      <c r="N59" s="6">
        <f t="shared" si="0"/>
        <v>6.8000000000000005E-2</v>
      </c>
    </row>
    <row r="60" spans="1:14" ht="27.6">
      <c r="A60" s="5">
        <v>46327</v>
      </c>
      <c r="B60" s="1" t="s">
        <v>71</v>
      </c>
      <c r="C60" s="1" t="s">
        <v>64</v>
      </c>
      <c r="D60" s="1" t="s">
        <v>54</v>
      </c>
      <c r="E60" s="1" t="s">
        <v>67</v>
      </c>
      <c r="F60" s="1" t="s">
        <v>68</v>
      </c>
      <c r="G60" s="1" t="s">
        <v>57</v>
      </c>
      <c r="H60" s="1" t="s">
        <v>69</v>
      </c>
      <c r="I60" s="1" t="s">
        <v>70</v>
      </c>
      <c r="J60" s="1" t="s">
        <v>61</v>
      </c>
      <c r="K60" s="1" t="s">
        <v>30</v>
      </c>
      <c r="L60" s="4">
        <v>0.25</v>
      </c>
      <c r="M60" s="4">
        <v>0.32600000000000001</v>
      </c>
      <c r="N60" s="6">
        <f t="shared" si="0"/>
        <v>7.6000000000000012E-2</v>
      </c>
    </row>
    <row r="61" spans="1:14" ht="27.6">
      <c r="A61" s="5">
        <v>46357</v>
      </c>
      <c r="B61" s="1" t="s">
        <v>71</v>
      </c>
      <c r="C61" s="1" t="s">
        <v>64</v>
      </c>
      <c r="D61" s="1" t="s">
        <v>54</v>
      </c>
      <c r="E61" s="1" t="s">
        <v>67</v>
      </c>
      <c r="F61" s="1" t="s">
        <v>68</v>
      </c>
      <c r="G61" s="1" t="s">
        <v>57</v>
      </c>
      <c r="H61" s="1" t="s">
        <v>69</v>
      </c>
      <c r="I61" s="1" t="s">
        <v>70</v>
      </c>
      <c r="J61" s="1" t="s">
        <v>61</v>
      </c>
      <c r="K61" s="1" t="s">
        <v>30</v>
      </c>
      <c r="L61" s="4">
        <v>0.25</v>
      </c>
      <c r="M61" s="4">
        <v>0.33800000000000002</v>
      </c>
      <c r="N61" s="6">
        <f t="shared" si="0"/>
        <v>8.8000000000000023E-2</v>
      </c>
    </row>
    <row r="62" spans="1:14">
      <c r="A62" s="5">
        <v>46023</v>
      </c>
      <c r="B62" s="1" t="s">
        <v>72</v>
      </c>
      <c r="C62" s="1" t="s">
        <v>0</v>
      </c>
      <c r="D62" s="1" t="s">
        <v>73</v>
      </c>
      <c r="E62" s="1" t="s">
        <v>74</v>
      </c>
      <c r="F62" s="1" t="s">
        <v>75</v>
      </c>
      <c r="G62" s="1" t="s">
        <v>73</v>
      </c>
      <c r="H62" s="1" t="s">
        <v>58</v>
      </c>
      <c r="I62" s="1" t="s">
        <v>77</v>
      </c>
      <c r="J62" s="1" t="s">
        <v>78</v>
      </c>
      <c r="K62" s="1" t="s">
        <v>12</v>
      </c>
      <c r="L62" s="4">
        <v>1</v>
      </c>
      <c r="M62" s="4">
        <v>1.0349999999999999</v>
      </c>
      <c r="N62" s="6">
        <f t="shared" si="0"/>
        <v>3.499999999999992E-2</v>
      </c>
    </row>
    <row r="63" spans="1:14">
      <c r="A63" s="5">
        <v>46054</v>
      </c>
      <c r="B63" s="1" t="s">
        <v>72</v>
      </c>
      <c r="C63" s="1" t="s">
        <v>0</v>
      </c>
      <c r="D63" s="1" t="s">
        <v>73</v>
      </c>
      <c r="E63" s="1" t="s">
        <v>74</v>
      </c>
      <c r="F63" s="1" t="s">
        <v>75</v>
      </c>
      <c r="G63" s="1" t="s">
        <v>73</v>
      </c>
      <c r="H63" s="1" t="s">
        <v>58</v>
      </c>
      <c r="I63" s="1" t="s">
        <v>77</v>
      </c>
      <c r="J63" s="1" t="s">
        <v>78</v>
      </c>
      <c r="K63" s="1" t="s">
        <v>12</v>
      </c>
      <c r="L63" s="4">
        <v>1</v>
      </c>
      <c r="M63" s="4">
        <v>1.0375000000000001</v>
      </c>
      <c r="N63" s="6">
        <f t="shared" si="0"/>
        <v>3.7500000000000089E-2</v>
      </c>
    </row>
    <row r="64" spans="1:14">
      <c r="A64" s="5">
        <v>46082</v>
      </c>
      <c r="B64" s="1" t="s">
        <v>72</v>
      </c>
      <c r="C64" s="1" t="s">
        <v>0</v>
      </c>
      <c r="D64" s="1" t="s">
        <v>73</v>
      </c>
      <c r="E64" s="1" t="s">
        <v>74</v>
      </c>
      <c r="F64" s="1" t="s">
        <v>75</v>
      </c>
      <c r="G64" s="1" t="s">
        <v>73</v>
      </c>
      <c r="H64" s="1" t="s">
        <v>58</v>
      </c>
      <c r="I64" s="1" t="s">
        <v>77</v>
      </c>
      <c r="J64" s="1" t="s">
        <v>78</v>
      </c>
      <c r="K64" s="1" t="s">
        <v>12</v>
      </c>
      <c r="L64" s="4">
        <v>1</v>
      </c>
      <c r="M64" s="4">
        <v>1.04</v>
      </c>
      <c r="N64" s="6">
        <f t="shared" si="0"/>
        <v>4.0000000000000036E-2</v>
      </c>
    </row>
    <row r="65" spans="1:14">
      <c r="A65" s="5">
        <v>46113</v>
      </c>
      <c r="B65" s="1" t="s">
        <v>72</v>
      </c>
      <c r="C65" s="1" t="s">
        <v>0</v>
      </c>
      <c r="D65" s="1" t="s">
        <v>73</v>
      </c>
      <c r="E65" s="1" t="s">
        <v>74</v>
      </c>
      <c r="F65" s="1" t="s">
        <v>75</v>
      </c>
      <c r="G65" s="1" t="s">
        <v>73</v>
      </c>
      <c r="H65" s="1" t="s">
        <v>58</v>
      </c>
      <c r="I65" s="1" t="s">
        <v>77</v>
      </c>
      <c r="J65" s="1" t="s">
        <v>78</v>
      </c>
      <c r="K65" s="1" t="s">
        <v>12</v>
      </c>
      <c r="L65" s="4">
        <v>1</v>
      </c>
      <c r="M65" s="4">
        <v>1.0425</v>
      </c>
      <c r="N65" s="6">
        <f t="shared" si="0"/>
        <v>4.2499999999999982E-2</v>
      </c>
    </row>
    <row r="66" spans="1:14">
      <c r="A66" s="5">
        <v>46143</v>
      </c>
      <c r="B66" s="1" t="s">
        <v>72</v>
      </c>
      <c r="C66" s="1" t="s">
        <v>0</v>
      </c>
      <c r="D66" s="1" t="s">
        <v>73</v>
      </c>
      <c r="E66" s="1" t="s">
        <v>74</v>
      </c>
      <c r="F66" s="1" t="s">
        <v>75</v>
      </c>
      <c r="G66" s="1" t="s">
        <v>73</v>
      </c>
      <c r="H66" s="1" t="s">
        <v>58</v>
      </c>
      <c r="I66" s="1" t="s">
        <v>77</v>
      </c>
      <c r="J66" s="1" t="s">
        <v>78</v>
      </c>
      <c r="K66" s="1" t="s">
        <v>12</v>
      </c>
      <c r="L66" s="4">
        <v>1</v>
      </c>
      <c r="M66" s="4">
        <v>1.0449999999999999</v>
      </c>
      <c r="N66" s="6">
        <f t="shared" ref="N66:N129" si="1">M66-L66</f>
        <v>4.4999999999999929E-2</v>
      </c>
    </row>
    <row r="67" spans="1:14">
      <c r="A67" s="5">
        <v>46174</v>
      </c>
      <c r="B67" s="1" t="s">
        <v>72</v>
      </c>
      <c r="C67" s="1" t="s">
        <v>0</v>
      </c>
      <c r="D67" s="1" t="s">
        <v>73</v>
      </c>
      <c r="E67" s="1" t="s">
        <v>74</v>
      </c>
      <c r="F67" s="1" t="s">
        <v>75</v>
      </c>
      <c r="G67" s="1" t="s">
        <v>73</v>
      </c>
      <c r="H67" s="1" t="s">
        <v>58</v>
      </c>
      <c r="I67" s="1" t="s">
        <v>77</v>
      </c>
      <c r="J67" s="1" t="s">
        <v>78</v>
      </c>
      <c r="K67" s="1" t="s">
        <v>12</v>
      </c>
      <c r="L67" s="4">
        <v>1</v>
      </c>
      <c r="M67" s="4">
        <v>1.05</v>
      </c>
      <c r="N67" s="6">
        <f t="shared" si="1"/>
        <v>5.0000000000000044E-2</v>
      </c>
    </row>
    <row r="68" spans="1:14">
      <c r="A68" s="5">
        <v>46204</v>
      </c>
      <c r="B68" s="1" t="s">
        <v>72</v>
      </c>
      <c r="C68" s="1" t="s">
        <v>0</v>
      </c>
      <c r="D68" s="1" t="s">
        <v>73</v>
      </c>
      <c r="E68" s="1" t="s">
        <v>74</v>
      </c>
      <c r="F68" s="1" t="s">
        <v>75</v>
      </c>
      <c r="G68" s="1" t="s">
        <v>73</v>
      </c>
      <c r="H68" s="1" t="s">
        <v>58</v>
      </c>
      <c r="I68" s="1" t="s">
        <v>77</v>
      </c>
      <c r="J68" s="1" t="s">
        <v>78</v>
      </c>
      <c r="K68" s="1" t="s">
        <v>27</v>
      </c>
      <c r="L68" s="4">
        <v>1</v>
      </c>
      <c r="M68" s="4">
        <v>1.0325</v>
      </c>
      <c r="N68" s="6">
        <f t="shared" si="1"/>
        <v>3.2499999999999973E-2</v>
      </c>
    </row>
    <row r="69" spans="1:14">
      <c r="A69" s="5">
        <v>46235</v>
      </c>
      <c r="B69" s="1" t="s">
        <v>72</v>
      </c>
      <c r="C69" s="1" t="s">
        <v>0</v>
      </c>
      <c r="D69" s="1" t="s">
        <v>73</v>
      </c>
      <c r="E69" s="1" t="s">
        <v>74</v>
      </c>
      <c r="F69" s="1" t="s">
        <v>75</v>
      </c>
      <c r="G69" s="1" t="s">
        <v>73</v>
      </c>
      <c r="H69" s="1" t="s">
        <v>58</v>
      </c>
      <c r="I69" s="1" t="s">
        <v>77</v>
      </c>
      <c r="J69" s="1" t="s">
        <v>78</v>
      </c>
      <c r="K69" s="1" t="s">
        <v>30</v>
      </c>
      <c r="L69" s="4">
        <v>1</v>
      </c>
      <c r="M69" s="4">
        <v>1.0349999999999999</v>
      </c>
      <c r="N69" s="6">
        <f t="shared" si="1"/>
        <v>3.499999999999992E-2</v>
      </c>
    </row>
    <row r="70" spans="1:14">
      <c r="A70" s="5">
        <v>46266</v>
      </c>
      <c r="B70" s="1" t="s">
        <v>72</v>
      </c>
      <c r="C70" s="1" t="s">
        <v>0</v>
      </c>
      <c r="D70" s="1" t="s">
        <v>73</v>
      </c>
      <c r="E70" s="1" t="s">
        <v>74</v>
      </c>
      <c r="F70" s="1" t="s">
        <v>75</v>
      </c>
      <c r="G70" s="1" t="s">
        <v>73</v>
      </c>
      <c r="H70" s="1" t="s">
        <v>58</v>
      </c>
      <c r="I70" s="1" t="s">
        <v>77</v>
      </c>
      <c r="J70" s="1" t="s">
        <v>78</v>
      </c>
      <c r="K70" s="1" t="s">
        <v>30</v>
      </c>
      <c r="L70" s="4">
        <v>1</v>
      </c>
      <c r="M70" s="4">
        <v>1.0375000000000001</v>
      </c>
      <c r="N70" s="6">
        <f t="shared" si="1"/>
        <v>3.7500000000000089E-2</v>
      </c>
    </row>
    <row r="71" spans="1:14">
      <c r="A71" s="5">
        <v>46296</v>
      </c>
      <c r="B71" s="1" t="s">
        <v>72</v>
      </c>
      <c r="C71" s="1" t="s">
        <v>0</v>
      </c>
      <c r="D71" s="1" t="s">
        <v>73</v>
      </c>
      <c r="E71" s="1" t="s">
        <v>74</v>
      </c>
      <c r="F71" s="1" t="s">
        <v>75</v>
      </c>
      <c r="G71" s="1" t="s">
        <v>73</v>
      </c>
      <c r="H71" s="1" t="s">
        <v>58</v>
      </c>
      <c r="I71" s="1" t="s">
        <v>77</v>
      </c>
      <c r="J71" s="1" t="s">
        <v>78</v>
      </c>
      <c r="K71" s="1" t="s">
        <v>30</v>
      </c>
      <c r="L71" s="4">
        <v>1</v>
      </c>
      <c r="M71" s="4">
        <v>1.0425</v>
      </c>
      <c r="N71" s="6">
        <f t="shared" si="1"/>
        <v>4.2499999999999982E-2</v>
      </c>
    </row>
    <row r="72" spans="1:14">
      <c r="A72" s="5">
        <v>46327</v>
      </c>
      <c r="B72" s="1" t="s">
        <v>72</v>
      </c>
      <c r="C72" s="1" t="s">
        <v>0</v>
      </c>
      <c r="D72" s="1" t="s">
        <v>73</v>
      </c>
      <c r="E72" s="1" t="s">
        <v>74</v>
      </c>
      <c r="F72" s="1" t="s">
        <v>75</v>
      </c>
      <c r="G72" s="1" t="s">
        <v>73</v>
      </c>
      <c r="H72" s="1" t="s">
        <v>58</v>
      </c>
      <c r="I72" s="1" t="s">
        <v>77</v>
      </c>
      <c r="J72" s="1" t="s">
        <v>78</v>
      </c>
      <c r="K72" s="1" t="s">
        <v>30</v>
      </c>
      <c r="L72" s="4">
        <v>1</v>
      </c>
      <c r="M72" s="4">
        <v>1.0475000000000001</v>
      </c>
      <c r="N72" s="6">
        <f t="shared" si="1"/>
        <v>4.7500000000000098E-2</v>
      </c>
    </row>
    <row r="73" spans="1:14">
      <c r="A73" s="5">
        <v>46357</v>
      </c>
      <c r="B73" s="1" t="s">
        <v>72</v>
      </c>
      <c r="C73" s="1" t="s">
        <v>0</v>
      </c>
      <c r="D73" s="1" t="s">
        <v>73</v>
      </c>
      <c r="E73" s="1" t="s">
        <v>74</v>
      </c>
      <c r="F73" s="1" t="s">
        <v>75</v>
      </c>
      <c r="G73" s="1" t="s">
        <v>73</v>
      </c>
      <c r="H73" s="1" t="s">
        <v>58</v>
      </c>
      <c r="I73" s="1" t="s">
        <v>77</v>
      </c>
      <c r="J73" s="1" t="s">
        <v>78</v>
      </c>
      <c r="K73" s="1" t="s">
        <v>30</v>
      </c>
      <c r="L73" s="4">
        <v>1</v>
      </c>
      <c r="M73" s="4">
        <v>1.0549999999999999</v>
      </c>
      <c r="N73" s="6">
        <f t="shared" si="1"/>
        <v>5.4999999999999938E-2</v>
      </c>
    </row>
    <row r="74" spans="1:14">
      <c r="A74" s="5">
        <v>46023</v>
      </c>
      <c r="B74" s="1" t="s">
        <v>79</v>
      </c>
      <c r="C74" s="1" t="s">
        <v>1</v>
      </c>
      <c r="D74" s="1" t="s">
        <v>73</v>
      </c>
      <c r="E74" s="1" t="s">
        <v>74</v>
      </c>
      <c r="F74" s="1" t="s">
        <v>75</v>
      </c>
      <c r="G74" s="1" t="s">
        <v>73</v>
      </c>
      <c r="H74" s="1" t="s">
        <v>58</v>
      </c>
      <c r="I74" s="1" t="s">
        <v>77</v>
      </c>
      <c r="J74" s="1" t="s">
        <v>78</v>
      </c>
      <c r="K74" s="1" t="s">
        <v>12</v>
      </c>
      <c r="L74" s="4">
        <v>0.41670000000000001</v>
      </c>
      <c r="M74" s="4">
        <v>0.43070000000000003</v>
      </c>
      <c r="N74" s="6">
        <f t="shared" si="1"/>
        <v>1.4000000000000012E-2</v>
      </c>
    </row>
    <row r="75" spans="1:14">
      <c r="A75" s="5">
        <v>46054</v>
      </c>
      <c r="B75" s="1" t="s">
        <v>79</v>
      </c>
      <c r="C75" s="1" t="s">
        <v>1</v>
      </c>
      <c r="D75" s="1" t="s">
        <v>73</v>
      </c>
      <c r="E75" s="1" t="s">
        <v>74</v>
      </c>
      <c r="F75" s="1" t="s">
        <v>75</v>
      </c>
      <c r="G75" s="1" t="s">
        <v>73</v>
      </c>
      <c r="H75" s="1" t="s">
        <v>58</v>
      </c>
      <c r="I75" s="1" t="s">
        <v>77</v>
      </c>
      <c r="J75" s="1" t="s">
        <v>78</v>
      </c>
      <c r="K75" s="1" t="s">
        <v>12</v>
      </c>
      <c r="L75" s="4">
        <v>0.41670000000000001</v>
      </c>
      <c r="M75" s="4">
        <v>0.43169999999999997</v>
      </c>
      <c r="N75" s="6">
        <f t="shared" si="1"/>
        <v>1.4999999999999958E-2</v>
      </c>
    </row>
    <row r="76" spans="1:14">
      <c r="A76" s="5">
        <v>46082</v>
      </c>
      <c r="B76" s="1" t="s">
        <v>79</v>
      </c>
      <c r="C76" s="1" t="s">
        <v>1</v>
      </c>
      <c r="D76" s="1" t="s">
        <v>73</v>
      </c>
      <c r="E76" s="1" t="s">
        <v>74</v>
      </c>
      <c r="F76" s="1" t="s">
        <v>75</v>
      </c>
      <c r="G76" s="1" t="s">
        <v>73</v>
      </c>
      <c r="H76" s="1" t="s">
        <v>58</v>
      </c>
      <c r="I76" s="1" t="s">
        <v>77</v>
      </c>
      <c r="J76" s="1" t="s">
        <v>78</v>
      </c>
      <c r="K76" s="1" t="s">
        <v>12</v>
      </c>
      <c r="L76" s="4">
        <v>0.41670000000000001</v>
      </c>
      <c r="M76" s="4">
        <v>0.43269999999999997</v>
      </c>
      <c r="N76" s="6">
        <f t="shared" si="1"/>
        <v>1.5999999999999959E-2</v>
      </c>
    </row>
    <row r="77" spans="1:14">
      <c r="A77" s="5">
        <v>46113</v>
      </c>
      <c r="B77" s="1" t="s">
        <v>79</v>
      </c>
      <c r="C77" s="1" t="s">
        <v>1</v>
      </c>
      <c r="D77" s="1" t="s">
        <v>73</v>
      </c>
      <c r="E77" s="1" t="s">
        <v>74</v>
      </c>
      <c r="F77" s="1" t="s">
        <v>75</v>
      </c>
      <c r="G77" s="1" t="s">
        <v>73</v>
      </c>
      <c r="H77" s="1" t="s">
        <v>58</v>
      </c>
      <c r="I77" s="1" t="s">
        <v>77</v>
      </c>
      <c r="J77" s="1" t="s">
        <v>78</v>
      </c>
      <c r="K77" s="1" t="s">
        <v>12</v>
      </c>
      <c r="L77" s="4">
        <v>0.41670000000000001</v>
      </c>
      <c r="M77" s="4">
        <v>0.43369999999999997</v>
      </c>
      <c r="N77" s="6">
        <f t="shared" si="1"/>
        <v>1.699999999999996E-2</v>
      </c>
    </row>
    <row r="78" spans="1:14">
      <c r="A78" s="5">
        <v>46143</v>
      </c>
      <c r="B78" s="1" t="s">
        <v>79</v>
      </c>
      <c r="C78" s="1" t="s">
        <v>1</v>
      </c>
      <c r="D78" s="1" t="s">
        <v>73</v>
      </c>
      <c r="E78" s="1" t="s">
        <v>74</v>
      </c>
      <c r="F78" s="1" t="s">
        <v>75</v>
      </c>
      <c r="G78" s="1" t="s">
        <v>73</v>
      </c>
      <c r="H78" s="1" t="s">
        <v>58</v>
      </c>
      <c r="I78" s="1" t="s">
        <v>77</v>
      </c>
      <c r="J78" s="1" t="s">
        <v>78</v>
      </c>
      <c r="K78" s="1" t="s">
        <v>12</v>
      </c>
      <c r="L78" s="4">
        <v>0.41670000000000001</v>
      </c>
      <c r="M78" s="4">
        <v>0.43469999999999998</v>
      </c>
      <c r="N78" s="6">
        <f t="shared" si="1"/>
        <v>1.799999999999996E-2</v>
      </c>
    </row>
    <row r="79" spans="1:14">
      <c r="A79" s="5">
        <v>46174</v>
      </c>
      <c r="B79" s="1" t="s">
        <v>79</v>
      </c>
      <c r="C79" s="1" t="s">
        <v>1</v>
      </c>
      <c r="D79" s="1" t="s">
        <v>73</v>
      </c>
      <c r="E79" s="1" t="s">
        <v>74</v>
      </c>
      <c r="F79" s="1" t="s">
        <v>75</v>
      </c>
      <c r="G79" s="1" t="s">
        <v>73</v>
      </c>
      <c r="H79" s="1" t="s">
        <v>58</v>
      </c>
      <c r="I79" s="1" t="s">
        <v>77</v>
      </c>
      <c r="J79" s="1" t="s">
        <v>78</v>
      </c>
      <c r="K79" s="1" t="s">
        <v>12</v>
      </c>
      <c r="L79" s="4">
        <v>0.41649999999999998</v>
      </c>
      <c r="M79" s="4">
        <v>0.4365</v>
      </c>
      <c r="N79" s="6">
        <f t="shared" si="1"/>
        <v>2.0000000000000018E-2</v>
      </c>
    </row>
    <row r="80" spans="1:14">
      <c r="A80" s="5">
        <v>46204</v>
      </c>
      <c r="B80" s="1" t="s">
        <v>79</v>
      </c>
      <c r="C80" s="1" t="s">
        <v>1</v>
      </c>
      <c r="D80" s="1" t="s">
        <v>73</v>
      </c>
      <c r="E80" s="1" t="s">
        <v>74</v>
      </c>
      <c r="F80" s="1" t="s">
        <v>75</v>
      </c>
      <c r="G80" s="1" t="s">
        <v>73</v>
      </c>
      <c r="H80" s="1" t="s">
        <v>58</v>
      </c>
      <c r="I80" s="1" t="s">
        <v>77</v>
      </c>
      <c r="J80" s="1" t="s">
        <v>78</v>
      </c>
      <c r="K80" s="1" t="s">
        <v>27</v>
      </c>
      <c r="L80" s="4">
        <v>0.41670000000000001</v>
      </c>
      <c r="M80" s="4">
        <v>0.42970000000000003</v>
      </c>
      <c r="N80" s="6">
        <f t="shared" si="1"/>
        <v>1.3000000000000012E-2</v>
      </c>
    </row>
    <row r="81" spans="1:14">
      <c r="A81" s="5">
        <v>46235</v>
      </c>
      <c r="B81" s="1" t="s">
        <v>79</v>
      </c>
      <c r="C81" s="1" t="s">
        <v>1</v>
      </c>
      <c r="D81" s="1" t="s">
        <v>73</v>
      </c>
      <c r="E81" s="1" t="s">
        <v>74</v>
      </c>
      <c r="F81" s="1" t="s">
        <v>75</v>
      </c>
      <c r="G81" s="1" t="s">
        <v>73</v>
      </c>
      <c r="H81" s="1" t="s">
        <v>58</v>
      </c>
      <c r="I81" s="1" t="s">
        <v>77</v>
      </c>
      <c r="J81" s="1" t="s">
        <v>78</v>
      </c>
      <c r="K81" s="1" t="s">
        <v>30</v>
      </c>
      <c r="L81" s="4">
        <v>0.41670000000000001</v>
      </c>
      <c r="M81" s="4">
        <v>0.43070000000000003</v>
      </c>
      <c r="N81" s="6">
        <f t="shared" si="1"/>
        <v>1.4000000000000012E-2</v>
      </c>
    </row>
    <row r="82" spans="1:14">
      <c r="A82" s="5">
        <v>46266</v>
      </c>
      <c r="B82" s="1" t="s">
        <v>79</v>
      </c>
      <c r="C82" s="1" t="s">
        <v>1</v>
      </c>
      <c r="D82" s="1" t="s">
        <v>73</v>
      </c>
      <c r="E82" s="1" t="s">
        <v>74</v>
      </c>
      <c r="F82" s="1" t="s">
        <v>75</v>
      </c>
      <c r="G82" s="1" t="s">
        <v>73</v>
      </c>
      <c r="H82" s="1" t="s">
        <v>58</v>
      </c>
      <c r="I82" s="1" t="s">
        <v>77</v>
      </c>
      <c r="J82" s="1" t="s">
        <v>78</v>
      </c>
      <c r="K82" s="1" t="s">
        <v>30</v>
      </c>
      <c r="L82" s="4">
        <v>0.41670000000000001</v>
      </c>
      <c r="M82" s="4">
        <v>0.43169999999999997</v>
      </c>
      <c r="N82" s="6">
        <f t="shared" si="1"/>
        <v>1.4999999999999958E-2</v>
      </c>
    </row>
    <row r="83" spans="1:14">
      <c r="A83" s="5">
        <v>46296</v>
      </c>
      <c r="B83" s="1" t="s">
        <v>79</v>
      </c>
      <c r="C83" s="1" t="s">
        <v>1</v>
      </c>
      <c r="D83" s="1" t="s">
        <v>73</v>
      </c>
      <c r="E83" s="1" t="s">
        <v>74</v>
      </c>
      <c r="F83" s="1" t="s">
        <v>75</v>
      </c>
      <c r="G83" s="1" t="s">
        <v>73</v>
      </c>
      <c r="H83" s="1" t="s">
        <v>58</v>
      </c>
      <c r="I83" s="1" t="s">
        <v>77</v>
      </c>
      <c r="J83" s="1" t="s">
        <v>78</v>
      </c>
      <c r="K83" s="1" t="s">
        <v>30</v>
      </c>
      <c r="L83" s="4">
        <v>0.41670000000000001</v>
      </c>
      <c r="M83" s="4">
        <v>0.43369999999999997</v>
      </c>
      <c r="N83" s="6">
        <f t="shared" si="1"/>
        <v>1.699999999999996E-2</v>
      </c>
    </row>
    <row r="84" spans="1:14">
      <c r="A84" s="5">
        <v>46327</v>
      </c>
      <c r="B84" s="1" t="s">
        <v>79</v>
      </c>
      <c r="C84" s="1" t="s">
        <v>1</v>
      </c>
      <c r="D84" s="1" t="s">
        <v>73</v>
      </c>
      <c r="E84" s="1" t="s">
        <v>74</v>
      </c>
      <c r="F84" s="1" t="s">
        <v>75</v>
      </c>
      <c r="G84" s="1" t="s">
        <v>73</v>
      </c>
      <c r="H84" s="1" t="s">
        <v>58</v>
      </c>
      <c r="I84" s="1" t="s">
        <v>77</v>
      </c>
      <c r="J84" s="1" t="s">
        <v>78</v>
      </c>
      <c r="K84" s="1" t="s">
        <v>30</v>
      </c>
      <c r="L84" s="4">
        <v>0.41670000000000001</v>
      </c>
      <c r="M84" s="4">
        <v>0.43569999999999998</v>
      </c>
      <c r="N84" s="6">
        <f t="shared" si="1"/>
        <v>1.8999999999999961E-2</v>
      </c>
    </row>
    <row r="85" spans="1:14">
      <c r="A85" s="5">
        <v>46357</v>
      </c>
      <c r="B85" s="1" t="s">
        <v>79</v>
      </c>
      <c r="C85" s="1" t="s">
        <v>1</v>
      </c>
      <c r="D85" s="1" t="s">
        <v>73</v>
      </c>
      <c r="E85" s="1" t="s">
        <v>74</v>
      </c>
      <c r="F85" s="1" t="s">
        <v>75</v>
      </c>
      <c r="G85" s="1" t="s">
        <v>73</v>
      </c>
      <c r="H85" s="1" t="s">
        <v>58</v>
      </c>
      <c r="I85" s="1" t="s">
        <v>77</v>
      </c>
      <c r="J85" s="1" t="s">
        <v>78</v>
      </c>
      <c r="K85" s="1" t="s">
        <v>30</v>
      </c>
      <c r="L85" s="4">
        <v>0.41649999999999998</v>
      </c>
      <c r="M85" s="4">
        <v>0.4385</v>
      </c>
      <c r="N85" s="6">
        <f t="shared" si="1"/>
        <v>2.200000000000002E-2</v>
      </c>
    </row>
    <row r="86" spans="1:14">
      <c r="A86" s="5">
        <v>46023</v>
      </c>
      <c r="B86" s="1" t="s">
        <v>80</v>
      </c>
      <c r="C86" s="1" t="s">
        <v>64</v>
      </c>
      <c r="D86" s="1" t="s">
        <v>73</v>
      </c>
      <c r="E86" s="1" t="s">
        <v>74</v>
      </c>
      <c r="F86" s="1" t="s">
        <v>75</v>
      </c>
      <c r="G86" s="1" t="s">
        <v>73</v>
      </c>
      <c r="H86" s="1" t="s">
        <v>58</v>
      </c>
      <c r="I86" s="1" t="s">
        <v>77</v>
      </c>
      <c r="J86" s="1" t="s">
        <v>78</v>
      </c>
      <c r="K86" s="1" t="s">
        <v>12</v>
      </c>
      <c r="L86" s="4">
        <v>0.25</v>
      </c>
      <c r="M86" s="4">
        <v>0.25700000000000001</v>
      </c>
      <c r="N86" s="6">
        <f t="shared" si="1"/>
        <v>7.0000000000000062E-3</v>
      </c>
    </row>
    <row r="87" spans="1:14">
      <c r="A87" s="5">
        <v>46054</v>
      </c>
      <c r="B87" s="1" t="s">
        <v>80</v>
      </c>
      <c r="C87" s="1" t="s">
        <v>64</v>
      </c>
      <c r="D87" s="1" t="s">
        <v>73</v>
      </c>
      <c r="E87" s="1" t="s">
        <v>74</v>
      </c>
      <c r="F87" s="1" t="s">
        <v>75</v>
      </c>
      <c r="G87" s="1" t="s">
        <v>73</v>
      </c>
      <c r="H87" s="1" t="s">
        <v>58</v>
      </c>
      <c r="I87" s="1" t="s">
        <v>77</v>
      </c>
      <c r="J87" s="1" t="s">
        <v>78</v>
      </c>
      <c r="K87" s="1" t="s">
        <v>12</v>
      </c>
      <c r="L87" s="4">
        <v>0.25</v>
      </c>
      <c r="M87" s="4">
        <v>0.25750000000000001</v>
      </c>
      <c r="N87" s="6">
        <f t="shared" si="1"/>
        <v>7.5000000000000067E-3</v>
      </c>
    </row>
    <row r="88" spans="1:14">
      <c r="A88" s="5">
        <v>46082</v>
      </c>
      <c r="B88" s="1" t="s">
        <v>80</v>
      </c>
      <c r="C88" s="1" t="s">
        <v>64</v>
      </c>
      <c r="D88" s="1" t="s">
        <v>73</v>
      </c>
      <c r="E88" s="1" t="s">
        <v>74</v>
      </c>
      <c r="F88" s="1" t="s">
        <v>75</v>
      </c>
      <c r="G88" s="1" t="s">
        <v>73</v>
      </c>
      <c r="H88" s="1" t="s">
        <v>58</v>
      </c>
      <c r="I88" s="1" t="s">
        <v>77</v>
      </c>
      <c r="J88" s="1" t="s">
        <v>78</v>
      </c>
      <c r="K88" s="1" t="s">
        <v>12</v>
      </c>
      <c r="L88" s="4">
        <v>0.25</v>
      </c>
      <c r="M88" s="4">
        <v>0.25800000000000001</v>
      </c>
      <c r="N88" s="6">
        <f t="shared" si="1"/>
        <v>8.0000000000000071E-3</v>
      </c>
    </row>
    <row r="89" spans="1:14">
      <c r="A89" s="5">
        <v>46113</v>
      </c>
      <c r="B89" s="1" t="s">
        <v>80</v>
      </c>
      <c r="C89" s="1" t="s">
        <v>64</v>
      </c>
      <c r="D89" s="1" t="s">
        <v>73</v>
      </c>
      <c r="E89" s="1" t="s">
        <v>74</v>
      </c>
      <c r="F89" s="1" t="s">
        <v>75</v>
      </c>
      <c r="G89" s="1" t="s">
        <v>73</v>
      </c>
      <c r="H89" s="1" t="s">
        <v>58</v>
      </c>
      <c r="I89" s="1" t="s">
        <v>77</v>
      </c>
      <c r="J89" s="1" t="s">
        <v>78</v>
      </c>
      <c r="K89" s="1" t="s">
        <v>12</v>
      </c>
      <c r="L89" s="4">
        <v>0.25</v>
      </c>
      <c r="M89" s="4">
        <v>0.25850000000000001</v>
      </c>
      <c r="N89" s="6">
        <f t="shared" si="1"/>
        <v>8.5000000000000075E-3</v>
      </c>
    </row>
    <row r="90" spans="1:14">
      <c r="A90" s="5">
        <v>46143</v>
      </c>
      <c r="B90" s="1" t="s">
        <v>80</v>
      </c>
      <c r="C90" s="1" t="s">
        <v>64</v>
      </c>
      <c r="D90" s="1" t="s">
        <v>73</v>
      </c>
      <c r="E90" s="1" t="s">
        <v>74</v>
      </c>
      <c r="F90" s="1" t="s">
        <v>75</v>
      </c>
      <c r="G90" s="1" t="s">
        <v>73</v>
      </c>
      <c r="H90" s="1" t="s">
        <v>58</v>
      </c>
      <c r="I90" s="1" t="s">
        <v>77</v>
      </c>
      <c r="J90" s="1" t="s">
        <v>78</v>
      </c>
      <c r="K90" s="1" t="s">
        <v>12</v>
      </c>
      <c r="L90" s="4">
        <v>0.25</v>
      </c>
      <c r="M90" s="4">
        <v>0.25900000000000001</v>
      </c>
      <c r="N90" s="6">
        <f t="shared" si="1"/>
        <v>9.000000000000008E-3</v>
      </c>
    </row>
    <row r="91" spans="1:14">
      <c r="A91" s="5">
        <v>46174</v>
      </c>
      <c r="B91" s="1" t="s">
        <v>80</v>
      </c>
      <c r="C91" s="1" t="s">
        <v>64</v>
      </c>
      <c r="D91" s="1" t="s">
        <v>73</v>
      </c>
      <c r="E91" s="1" t="s">
        <v>74</v>
      </c>
      <c r="F91" s="1" t="s">
        <v>75</v>
      </c>
      <c r="G91" s="1" t="s">
        <v>73</v>
      </c>
      <c r="H91" s="1" t="s">
        <v>58</v>
      </c>
      <c r="I91" s="1" t="s">
        <v>77</v>
      </c>
      <c r="J91" s="1" t="s">
        <v>78</v>
      </c>
      <c r="K91" s="1" t="s">
        <v>12</v>
      </c>
      <c r="L91" s="4">
        <v>0.25</v>
      </c>
      <c r="M91" s="4">
        <v>0.26</v>
      </c>
      <c r="N91" s="6">
        <f t="shared" si="1"/>
        <v>1.0000000000000009E-2</v>
      </c>
    </row>
    <row r="92" spans="1:14">
      <c r="A92" s="5">
        <v>46204</v>
      </c>
      <c r="B92" s="1" t="s">
        <v>80</v>
      </c>
      <c r="C92" s="1" t="s">
        <v>64</v>
      </c>
      <c r="D92" s="1" t="s">
        <v>73</v>
      </c>
      <c r="E92" s="1" t="s">
        <v>74</v>
      </c>
      <c r="F92" s="1" t="s">
        <v>75</v>
      </c>
      <c r="G92" s="1" t="s">
        <v>73</v>
      </c>
      <c r="H92" s="1" t="s">
        <v>58</v>
      </c>
      <c r="I92" s="1" t="s">
        <v>77</v>
      </c>
      <c r="J92" s="1" t="s">
        <v>78</v>
      </c>
      <c r="K92" s="1" t="s">
        <v>27</v>
      </c>
      <c r="L92" s="4">
        <v>0.25</v>
      </c>
      <c r="M92" s="4">
        <v>0.25650000000000001</v>
      </c>
      <c r="N92" s="6">
        <f t="shared" si="1"/>
        <v>6.5000000000000058E-3</v>
      </c>
    </row>
    <row r="93" spans="1:14">
      <c r="A93" s="5">
        <v>46235</v>
      </c>
      <c r="B93" s="1" t="s">
        <v>80</v>
      </c>
      <c r="C93" s="1" t="s">
        <v>64</v>
      </c>
      <c r="D93" s="1" t="s">
        <v>73</v>
      </c>
      <c r="E93" s="1" t="s">
        <v>74</v>
      </c>
      <c r="F93" s="1" t="s">
        <v>75</v>
      </c>
      <c r="G93" s="1" t="s">
        <v>73</v>
      </c>
      <c r="H93" s="1" t="s">
        <v>58</v>
      </c>
      <c r="I93" s="1" t="s">
        <v>77</v>
      </c>
      <c r="J93" s="1" t="s">
        <v>78</v>
      </c>
      <c r="K93" s="1" t="s">
        <v>30</v>
      </c>
      <c r="L93" s="4">
        <v>0.25</v>
      </c>
      <c r="M93" s="4">
        <v>0.25700000000000001</v>
      </c>
      <c r="N93" s="6">
        <f t="shared" si="1"/>
        <v>7.0000000000000062E-3</v>
      </c>
    </row>
    <row r="94" spans="1:14">
      <c r="A94" s="5">
        <v>46266</v>
      </c>
      <c r="B94" s="1" t="s">
        <v>80</v>
      </c>
      <c r="C94" s="1" t="s">
        <v>64</v>
      </c>
      <c r="D94" s="1" t="s">
        <v>73</v>
      </c>
      <c r="E94" s="1" t="s">
        <v>74</v>
      </c>
      <c r="F94" s="1" t="s">
        <v>75</v>
      </c>
      <c r="G94" s="1" t="s">
        <v>73</v>
      </c>
      <c r="H94" s="1" t="s">
        <v>58</v>
      </c>
      <c r="I94" s="1" t="s">
        <v>77</v>
      </c>
      <c r="J94" s="1" t="s">
        <v>78</v>
      </c>
      <c r="K94" s="1" t="s">
        <v>30</v>
      </c>
      <c r="L94" s="4">
        <v>0.25</v>
      </c>
      <c r="M94" s="4">
        <v>0.25750000000000001</v>
      </c>
      <c r="N94" s="6">
        <f t="shared" si="1"/>
        <v>7.5000000000000067E-3</v>
      </c>
    </row>
    <row r="95" spans="1:14">
      <c r="A95" s="5">
        <v>46296</v>
      </c>
      <c r="B95" s="1" t="s">
        <v>80</v>
      </c>
      <c r="C95" s="1" t="s">
        <v>64</v>
      </c>
      <c r="D95" s="1" t="s">
        <v>73</v>
      </c>
      <c r="E95" s="1" t="s">
        <v>74</v>
      </c>
      <c r="F95" s="1" t="s">
        <v>75</v>
      </c>
      <c r="G95" s="1" t="s">
        <v>73</v>
      </c>
      <c r="H95" s="1" t="s">
        <v>58</v>
      </c>
      <c r="I95" s="1" t="s">
        <v>77</v>
      </c>
      <c r="J95" s="1" t="s">
        <v>78</v>
      </c>
      <c r="K95" s="1" t="s">
        <v>30</v>
      </c>
      <c r="L95" s="4">
        <v>0.25</v>
      </c>
      <c r="M95" s="4">
        <v>0.25850000000000001</v>
      </c>
      <c r="N95" s="6">
        <f t="shared" si="1"/>
        <v>8.5000000000000075E-3</v>
      </c>
    </row>
    <row r="96" spans="1:14">
      <c r="A96" s="5">
        <v>46327</v>
      </c>
      <c r="B96" s="1" t="s">
        <v>80</v>
      </c>
      <c r="C96" s="1" t="s">
        <v>64</v>
      </c>
      <c r="D96" s="1" t="s">
        <v>73</v>
      </c>
      <c r="E96" s="1" t="s">
        <v>74</v>
      </c>
      <c r="F96" s="1" t="s">
        <v>75</v>
      </c>
      <c r="G96" s="1" t="s">
        <v>73</v>
      </c>
      <c r="H96" s="1" t="s">
        <v>58</v>
      </c>
      <c r="I96" s="1" t="s">
        <v>77</v>
      </c>
      <c r="J96" s="1" t="s">
        <v>78</v>
      </c>
      <c r="K96" s="1" t="s">
        <v>30</v>
      </c>
      <c r="L96" s="4">
        <v>0.25</v>
      </c>
      <c r="M96" s="4">
        <v>0.25950000000000001</v>
      </c>
      <c r="N96" s="6">
        <f t="shared" si="1"/>
        <v>9.5000000000000084E-3</v>
      </c>
    </row>
    <row r="97" spans="1:14">
      <c r="A97" s="5">
        <v>46357</v>
      </c>
      <c r="B97" s="1" t="s">
        <v>80</v>
      </c>
      <c r="C97" s="1" t="s">
        <v>64</v>
      </c>
      <c r="D97" s="1" t="s">
        <v>73</v>
      </c>
      <c r="E97" s="1" t="s">
        <v>74</v>
      </c>
      <c r="F97" s="1" t="s">
        <v>75</v>
      </c>
      <c r="G97" s="1" t="s">
        <v>73</v>
      </c>
      <c r="H97" s="1" t="s">
        <v>58</v>
      </c>
      <c r="I97" s="1" t="s">
        <v>77</v>
      </c>
      <c r="J97" s="1" t="s">
        <v>78</v>
      </c>
      <c r="K97" s="1" t="s">
        <v>30</v>
      </c>
      <c r="L97" s="4">
        <v>0.25</v>
      </c>
      <c r="M97" s="4">
        <v>0.26100000000000001</v>
      </c>
      <c r="N97" s="6">
        <f t="shared" si="1"/>
        <v>1.100000000000001E-2</v>
      </c>
    </row>
    <row r="98" spans="1:14">
      <c r="A98" s="5">
        <v>46023</v>
      </c>
      <c r="B98" s="1" t="s">
        <v>81</v>
      </c>
      <c r="C98" s="1" t="s">
        <v>0</v>
      </c>
      <c r="D98" s="1" t="s">
        <v>82</v>
      </c>
      <c r="E98" s="1" t="s">
        <v>74</v>
      </c>
      <c r="F98" s="1" t="s">
        <v>83</v>
      </c>
      <c r="G98" s="1" t="s">
        <v>73</v>
      </c>
      <c r="H98" s="1" t="s">
        <v>58</v>
      </c>
      <c r="I98" s="1" t="s">
        <v>60</v>
      </c>
      <c r="J98" s="1" t="s">
        <v>61</v>
      </c>
      <c r="K98" s="1" t="s">
        <v>12</v>
      </c>
      <c r="L98" s="4">
        <v>0.15</v>
      </c>
      <c r="M98" s="4">
        <v>0.17799999999999999</v>
      </c>
      <c r="N98" s="6">
        <f t="shared" si="1"/>
        <v>2.7999999999999997E-2</v>
      </c>
    </row>
    <row r="99" spans="1:14">
      <c r="A99" s="5">
        <v>46054</v>
      </c>
      <c r="B99" s="1" t="s">
        <v>81</v>
      </c>
      <c r="C99" s="1" t="s">
        <v>0</v>
      </c>
      <c r="D99" s="1" t="s">
        <v>82</v>
      </c>
      <c r="E99" s="1" t="s">
        <v>74</v>
      </c>
      <c r="F99" s="1" t="s">
        <v>83</v>
      </c>
      <c r="G99" s="1" t="s">
        <v>73</v>
      </c>
      <c r="H99" s="1" t="s">
        <v>58</v>
      </c>
      <c r="I99" s="1" t="s">
        <v>60</v>
      </c>
      <c r="J99" s="1" t="s">
        <v>61</v>
      </c>
      <c r="K99" s="1" t="s">
        <v>12</v>
      </c>
      <c r="L99" s="4">
        <v>0.15</v>
      </c>
      <c r="M99" s="4">
        <v>0.18</v>
      </c>
      <c r="N99" s="6">
        <f t="shared" si="1"/>
        <v>0.03</v>
      </c>
    </row>
    <row r="100" spans="1:14">
      <c r="A100" s="5">
        <v>46082</v>
      </c>
      <c r="B100" s="1" t="s">
        <v>81</v>
      </c>
      <c r="C100" s="1" t="s">
        <v>0</v>
      </c>
      <c r="D100" s="1" t="s">
        <v>82</v>
      </c>
      <c r="E100" s="1" t="s">
        <v>74</v>
      </c>
      <c r="F100" s="1" t="s">
        <v>83</v>
      </c>
      <c r="G100" s="1" t="s">
        <v>73</v>
      </c>
      <c r="H100" s="1" t="s">
        <v>58</v>
      </c>
      <c r="I100" s="1" t="s">
        <v>60</v>
      </c>
      <c r="J100" s="1" t="s">
        <v>61</v>
      </c>
      <c r="K100" s="1" t="s">
        <v>12</v>
      </c>
      <c r="L100" s="4">
        <v>0.15</v>
      </c>
      <c r="M100" s="4">
        <v>0.182</v>
      </c>
      <c r="N100" s="6">
        <f t="shared" si="1"/>
        <v>3.2000000000000001E-2</v>
      </c>
    </row>
    <row r="101" spans="1:14">
      <c r="A101" s="5">
        <v>46113</v>
      </c>
      <c r="B101" s="1" t="s">
        <v>81</v>
      </c>
      <c r="C101" s="1" t="s">
        <v>0</v>
      </c>
      <c r="D101" s="1" t="s">
        <v>82</v>
      </c>
      <c r="E101" s="1" t="s">
        <v>74</v>
      </c>
      <c r="F101" s="1" t="s">
        <v>83</v>
      </c>
      <c r="G101" s="1" t="s">
        <v>73</v>
      </c>
      <c r="H101" s="1" t="s">
        <v>58</v>
      </c>
      <c r="I101" s="1" t="s">
        <v>60</v>
      </c>
      <c r="J101" s="1" t="s">
        <v>61</v>
      </c>
      <c r="K101" s="1" t="s">
        <v>12</v>
      </c>
      <c r="L101" s="4">
        <v>0.15</v>
      </c>
      <c r="M101" s="4">
        <v>0.184</v>
      </c>
      <c r="N101" s="6">
        <f t="shared" si="1"/>
        <v>3.4000000000000002E-2</v>
      </c>
    </row>
    <row r="102" spans="1:14">
      <c r="A102" s="5">
        <v>46143</v>
      </c>
      <c r="B102" s="1" t="s">
        <v>81</v>
      </c>
      <c r="C102" s="1" t="s">
        <v>0</v>
      </c>
      <c r="D102" s="1" t="s">
        <v>82</v>
      </c>
      <c r="E102" s="1" t="s">
        <v>74</v>
      </c>
      <c r="F102" s="1" t="s">
        <v>83</v>
      </c>
      <c r="G102" s="1" t="s">
        <v>73</v>
      </c>
      <c r="H102" s="1" t="s">
        <v>58</v>
      </c>
      <c r="I102" s="1" t="s">
        <v>60</v>
      </c>
      <c r="J102" s="1" t="s">
        <v>61</v>
      </c>
      <c r="K102" s="1" t="s">
        <v>12</v>
      </c>
      <c r="L102" s="4">
        <v>0.15</v>
      </c>
      <c r="M102" s="4">
        <v>0.186</v>
      </c>
      <c r="N102" s="6">
        <f t="shared" si="1"/>
        <v>3.6000000000000004E-2</v>
      </c>
    </row>
    <row r="103" spans="1:14">
      <c r="A103" s="5">
        <v>46174</v>
      </c>
      <c r="B103" s="1" t="s">
        <v>81</v>
      </c>
      <c r="C103" s="1" t="s">
        <v>0</v>
      </c>
      <c r="D103" s="1" t="s">
        <v>82</v>
      </c>
      <c r="E103" s="1" t="s">
        <v>74</v>
      </c>
      <c r="F103" s="1" t="s">
        <v>83</v>
      </c>
      <c r="G103" s="1" t="s">
        <v>73</v>
      </c>
      <c r="H103" s="1" t="s">
        <v>58</v>
      </c>
      <c r="I103" s="1" t="s">
        <v>60</v>
      </c>
      <c r="J103" s="1" t="s">
        <v>61</v>
      </c>
      <c r="K103" s="1" t="s">
        <v>12</v>
      </c>
      <c r="L103" s="4">
        <v>0.15</v>
      </c>
      <c r="M103" s="4">
        <v>0.19</v>
      </c>
      <c r="N103" s="6">
        <f t="shared" si="1"/>
        <v>4.0000000000000008E-2</v>
      </c>
    </row>
    <row r="104" spans="1:14">
      <c r="A104" s="5">
        <v>46204</v>
      </c>
      <c r="B104" s="1" t="s">
        <v>81</v>
      </c>
      <c r="C104" s="1" t="s">
        <v>0</v>
      </c>
      <c r="D104" s="1" t="s">
        <v>82</v>
      </c>
      <c r="E104" s="1" t="s">
        <v>74</v>
      </c>
      <c r="F104" s="1" t="s">
        <v>83</v>
      </c>
      <c r="G104" s="1" t="s">
        <v>73</v>
      </c>
      <c r="H104" s="1" t="s">
        <v>58</v>
      </c>
      <c r="I104" s="1" t="s">
        <v>60</v>
      </c>
      <c r="J104" s="1" t="s">
        <v>61</v>
      </c>
      <c r="K104" s="1" t="s">
        <v>27</v>
      </c>
      <c r="L104" s="4">
        <v>0.15</v>
      </c>
      <c r="M104" s="4">
        <v>0.1565</v>
      </c>
      <c r="N104" s="6">
        <f t="shared" si="1"/>
        <v>6.5000000000000058E-3</v>
      </c>
    </row>
    <row r="105" spans="1:14">
      <c r="A105" s="5">
        <v>46235</v>
      </c>
      <c r="B105" s="1" t="s">
        <v>81</v>
      </c>
      <c r="C105" s="1" t="s">
        <v>0</v>
      </c>
      <c r="D105" s="1" t="s">
        <v>82</v>
      </c>
      <c r="E105" s="1" t="s">
        <v>74</v>
      </c>
      <c r="F105" s="1" t="s">
        <v>83</v>
      </c>
      <c r="G105" s="1" t="s">
        <v>73</v>
      </c>
      <c r="H105" s="1" t="s">
        <v>58</v>
      </c>
      <c r="I105" s="1" t="s">
        <v>60</v>
      </c>
      <c r="J105" s="1" t="s">
        <v>61</v>
      </c>
      <c r="K105" s="1" t="s">
        <v>30</v>
      </c>
      <c r="L105" s="4">
        <v>0.15</v>
      </c>
      <c r="M105" s="4">
        <v>0.157</v>
      </c>
      <c r="N105" s="6">
        <f t="shared" si="1"/>
        <v>7.0000000000000062E-3</v>
      </c>
    </row>
    <row r="106" spans="1:14">
      <c r="A106" s="5">
        <v>46266</v>
      </c>
      <c r="B106" s="1" t="s">
        <v>81</v>
      </c>
      <c r="C106" s="1" t="s">
        <v>0</v>
      </c>
      <c r="D106" s="1" t="s">
        <v>82</v>
      </c>
      <c r="E106" s="1" t="s">
        <v>74</v>
      </c>
      <c r="F106" s="1" t="s">
        <v>83</v>
      </c>
      <c r="G106" s="1" t="s">
        <v>73</v>
      </c>
      <c r="H106" s="1" t="s">
        <v>58</v>
      </c>
      <c r="I106" s="1" t="s">
        <v>60</v>
      </c>
      <c r="J106" s="1" t="s">
        <v>61</v>
      </c>
      <c r="K106" s="1" t="s">
        <v>30</v>
      </c>
      <c r="L106" s="4">
        <v>0.15</v>
      </c>
      <c r="M106" s="4">
        <v>0.1575</v>
      </c>
      <c r="N106" s="6">
        <f t="shared" si="1"/>
        <v>7.5000000000000067E-3</v>
      </c>
    </row>
    <row r="107" spans="1:14">
      <c r="A107" s="5">
        <v>46296</v>
      </c>
      <c r="B107" s="1" t="s">
        <v>81</v>
      </c>
      <c r="C107" s="1" t="s">
        <v>0</v>
      </c>
      <c r="D107" s="1" t="s">
        <v>82</v>
      </c>
      <c r="E107" s="1" t="s">
        <v>74</v>
      </c>
      <c r="F107" s="1" t="s">
        <v>83</v>
      </c>
      <c r="G107" s="1" t="s">
        <v>73</v>
      </c>
      <c r="H107" s="1" t="s">
        <v>58</v>
      </c>
      <c r="I107" s="1" t="s">
        <v>60</v>
      </c>
      <c r="J107" s="1" t="s">
        <v>61</v>
      </c>
      <c r="K107" s="1" t="s">
        <v>30</v>
      </c>
      <c r="L107" s="4">
        <v>0.15</v>
      </c>
      <c r="M107" s="4">
        <v>0.1585</v>
      </c>
      <c r="N107" s="6">
        <f t="shared" si="1"/>
        <v>8.5000000000000075E-3</v>
      </c>
    </row>
    <row r="108" spans="1:14">
      <c r="A108" s="5">
        <v>46327</v>
      </c>
      <c r="B108" s="1" t="s">
        <v>81</v>
      </c>
      <c r="C108" s="1" t="s">
        <v>0</v>
      </c>
      <c r="D108" s="1" t="s">
        <v>82</v>
      </c>
      <c r="E108" s="1" t="s">
        <v>74</v>
      </c>
      <c r="F108" s="1" t="s">
        <v>83</v>
      </c>
      <c r="G108" s="1" t="s">
        <v>73</v>
      </c>
      <c r="H108" s="1" t="s">
        <v>58</v>
      </c>
      <c r="I108" s="1" t="s">
        <v>60</v>
      </c>
      <c r="J108" s="1" t="s">
        <v>61</v>
      </c>
      <c r="K108" s="1" t="s">
        <v>30</v>
      </c>
      <c r="L108" s="4">
        <v>0.15</v>
      </c>
      <c r="M108" s="4">
        <v>0.1595</v>
      </c>
      <c r="N108" s="6">
        <f t="shared" si="1"/>
        <v>9.5000000000000084E-3</v>
      </c>
    </row>
    <row r="109" spans="1:14">
      <c r="A109" s="5">
        <v>46357</v>
      </c>
      <c r="B109" s="1" t="s">
        <v>81</v>
      </c>
      <c r="C109" s="1" t="s">
        <v>0</v>
      </c>
      <c r="D109" s="1" t="s">
        <v>82</v>
      </c>
      <c r="E109" s="1" t="s">
        <v>74</v>
      </c>
      <c r="F109" s="1" t="s">
        <v>83</v>
      </c>
      <c r="G109" s="1" t="s">
        <v>73</v>
      </c>
      <c r="H109" s="1" t="s">
        <v>58</v>
      </c>
      <c r="I109" s="1" t="s">
        <v>60</v>
      </c>
      <c r="J109" s="1" t="s">
        <v>61</v>
      </c>
      <c r="K109" s="1" t="s">
        <v>30</v>
      </c>
      <c r="L109" s="4">
        <v>0.15</v>
      </c>
      <c r="M109" s="4">
        <v>0.161</v>
      </c>
      <c r="N109" s="6">
        <f t="shared" si="1"/>
        <v>1.100000000000001E-2</v>
      </c>
    </row>
    <row r="110" spans="1:14">
      <c r="A110" s="5">
        <v>46023</v>
      </c>
      <c r="B110" s="1" t="s">
        <v>85</v>
      </c>
      <c r="C110" s="1" t="s">
        <v>1</v>
      </c>
      <c r="D110" s="1" t="s">
        <v>86</v>
      </c>
      <c r="E110" s="1" t="s">
        <v>74</v>
      </c>
      <c r="F110" s="1" t="s">
        <v>83</v>
      </c>
      <c r="G110" s="1" t="s">
        <v>73</v>
      </c>
      <c r="H110" s="1" t="s">
        <v>58</v>
      </c>
      <c r="I110" s="1" t="s">
        <v>60</v>
      </c>
      <c r="J110" s="1" t="s">
        <v>61</v>
      </c>
      <c r="K110" s="1" t="s">
        <v>12</v>
      </c>
      <c r="L110" s="4">
        <v>0.1</v>
      </c>
      <c r="M110" s="4">
        <v>0.114</v>
      </c>
      <c r="N110" s="6">
        <f t="shared" si="1"/>
        <v>1.3999999999999999E-2</v>
      </c>
    </row>
    <row r="111" spans="1:14">
      <c r="A111" s="5">
        <v>46054</v>
      </c>
      <c r="B111" s="1" t="s">
        <v>85</v>
      </c>
      <c r="C111" s="1" t="s">
        <v>1</v>
      </c>
      <c r="D111" s="1" t="s">
        <v>86</v>
      </c>
      <c r="E111" s="1" t="s">
        <v>74</v>
      </c>
      <c r="F111" s="1" t="s">
        <v>83</v>
      </c>
      <c r="G111" s="1" t="s">
        <v>73</v>
      </c>
      <c r="H111" s="1" t="s">
        <v>58</v>
      </c>
      <c r="I111" s="1" t="s">
        <v>60</v>
      </c>
      <c r="J111" s="1" t="s">
        <v>61</v>
      </c>
      <c r="K111" s="1" t="s">
        <v>12</v>
      </c>
      <c r="L111" s="4">
        <v>0.1</v>
      </c>
      <c r="M111" s="4">
        <v>0.115</v>
      </c>
      <c r="N111" s="6">
        <f t="shared" si="1"/>
        <v>1.4999999999999999E-2</v>
      </c>
    </row>
    <row r="112" spans="1:14">
      <c r="A112" s="5">
        <v>46082</v>
      </c>
      <c r="B112" s="1" t="s">
        <v>85</v>
      </c>
      <c r="C112" s="1" t="s">
        <v>1</v>
      </c>
      <c r="D112" s="1" t="s">
        <v>86</v>
      </c>
      <c r="E112" s="1" t="s">
        <v>74</v>
      </c>
      <c r="F112" s="1" t="s">
        <v>83</v>
      </c>
      <c r="G112" s="1" t="s">
        <v>73</v>
      </c>
      <c r="H112" s="1" t="s">
        <v>58</v>
      </c>
      <c r="I112" s="1" t="s">
        <v>60</v>
      </c>
      <c r="J112" s="1" t="s">
        <v>61</v>
      </c>
      <c r="K112" s="1" t="s">
        <v>12</v>
      </c>
      <c r="L112" s="4">
        <v>0.1</v>
      </c>
      <c r="M112" s="4">
        <v>0.11600000000000001</v>
      </c>
      <c r="N112" s="6">
        <f t="shared" si="1"/>
        <v>1.6E-2</v>
      </c>
    </row>
    <row r="113" spans="1:14">
      <c r="A113" s="5">
        <v>46113</v>
      </c>
      <c r="B113" s="1" t="s">
        <v>85</v>
      </c>
      <c r="C113" s="1" t="s">
        <v>1</v>
      </c>
      <c r="D113" s="1" t="s">
        <v>86</v>
      </c>
      <c r="E113" s="1" t="s">
        <v>74</v>
      </c>
      <c r="F113" s="1" t="s">
        <v>83</v>
      </c>
      <c r="G113" s="1" t="s">
        <v>73</v>
      </c>
      <c r="H113" s="1" t="s">
        <v>58</v>
      </c>
      <c r="I113" s="1" t="s">
        <v>60</v>
      </c>
      <c r="J113" s="1" t="s">
        <v>61</v>
      </c>
      <c r="K113" s="1" t="s">
        <v>12</v>
      </c>
      <c r="L113" s="4">
        <v>0.1</v>
      </c>
      <c r="M113" s="4">
        <v>0.11700000000000001</v>
      </c>
      <c r="N113" s="6">
        <f t="shared" si="1"/>
        <v>1.7000000000000001E-2</v>
      </c>
    </row>
    <row r="114" spans="1:14">
      <c r="A114" s="5">
        <v>46143</v>
      </c>
      <c r="B114" s="1" t="s">
        <v>85</v>
      </c>
      <c r="C114" s="1" t="s">
        <v>1</v>
      </c>
      <c r="D114" s="1" t="s">
        <v>86</v>
      </c>
      <c r="E114" s="1" t="s">
        <v>74</v>
      </c>
      <c r="F114" s="1" t="s">
        <v>83</v>
      </c>
      <c r="G114" s="1" t="s">
        <v>73</v>
      </c>
      <c r="H114" s="1" t="s">
        <v>58</v>
      </c>
      <c r="I114" s="1" t="s">
        <v>60</v>
      </c>
      <c r="J114" s="1" t="s">
        <v>61</v>
      </c>
      <c r="K114" s="1" t="s">
        <v>12</v>
      </c>
      <c r="L114" s="4">
        <v>0.1</v>
      </c>
      <c r="M114" s="4">
        <v>0.11799999999999999</v>
      </c>
      <c r="N114" s="6">
        <f t="shared" si="1"/>
        <v>1.7999999999999988E-2</v>
      </c>
    </row>
    <row r="115" spans="1:14">
      <c r="A115" s="5">
        <v>46174</v>
      </c>
      <c r="B115" s="1" t="s">
        <v>85</v>
      </c>
      <c r="C115" s="1" t="s">
        <v>1</v>
      </c>
      <c r="D115" s="1" t="s">
        <v>86</v>
      </c>
      <c r="E115" s="1" t="s">
        <v>74</v>
      </c>
      <c r="F115" s="1" t="s">
        <v>83</v>
      </c>
      <c r="G115" s="1" t="s">
        <v>73</v>
      </c>
      <c r="H115" s="1" t="s">
        <v>58</v>
      </c>
      <c r="I115" s="1" t="s">
        <v>60</v>
      </c>
      <c r="J115" s="1" t="s">
        <v>61</v>
      </c>
      <c r="K115" s="1" t="s">
        <v>12</v>
      </c>
      <c r="L115" s="4">
        <v>0.1</v>
      </c>
      <c r="M115" s="4">
        <v>0.12</v>
      </c>
      <c r="N115" s="6">
        <f t="shared" si="1"/>
        <v>1.999999999999999E-2</v>
      </c>
    </row>
    <row r="116" spans="1:14">
      <c r="A116" s="5">
        <v>46204</v>
      </c>
      <c r="B116" s="1" t="s">
        <v>85</v>
      </c>
      <c r="C116" s="1" t="s">
        <v>1</v>
      </c>
      <c r="D116" s="1" t="s">
        <v>86</v>
      </c>
      <c r="E116" s="1" t="s">
        <v>74</v>
      </c>
      <c r="F116" s="1" t="s">
        <v>83</v>
      </c>
      <c r="G116" s="1" t="s">
        <v>73</v>
      </c>
      <c r="H116" s="1" t="s">
        <v>58</v>
      </c>
      <c r="I116" s="1" t="s">
        <v>60</v>
      </c>
      <c r="J116" s="1" t="s">
        <v>61</v>
      </c>
      <c r="K116" s="1" t="s">
        <v>27</v>
      </c>
      <c r="L116" s="4">
        <v>0.1</v>
      </c>
      <c r="M116" s="4">
        <v>0.1065</v>
      </c>
      <c r="N116" s="6">
        <f t="shared" si="1"/>
        <v>6.4999999999999919E-3</v>
      </c>
    </row>
    <row r="117" spans="1:14">
      <c r="A117" s="5">
        <v>46235</v>
      </c>
      <c r="B117" s="1" t="s">
        <v>85</v>
      </c>
      <c r="C117" s="1" t="s">
        <v>1</v>
      </c>
      <c r="D117" s="1" t="s">
        <v>86</v>
      </c>
      <c r="E117" s="1" t="s">
        <v>74</v>
      </c>
      <c r="F117" s="1" t="s">
        <v>83</v>
      </c>
      <c r="G117" s="1" t="s">
        <v>73</v>
      </c>
      <c r="H117" s="1" t="s">
        <v>58</v>
      </c>
      <c r="I117" s="1" t="s">
        <v>60</v>
      </c>
      <c r="J117" s="1" t="s">
        <v>61</v>
      </c>
      <c r="K117" s="1" t="s">
        <v>30</v>
      </c>
      <c r="L117" s="4">
        <v>0.1</v>
      </c>
      <c r="M117" s="4">
        <v>0.107</v>
      </c>
      <c r="N117" s="6">
        <f t="shared" si="1"/>
        <v>6.9999999999999923E-3</v>
      </c>
    </row>
    <row r="118" spans="1:14">
      <c r="A118" s="5">
        <v>46266</v>
      </c>
      <c r="B118" s="1" t="s">
        <v>85</v>
      </c>
      <c r="C118" s="1" t="s">
        <v>1</v>
      </c>
      <c r="D118" s="1" t="s">
        <v>86</v>
      </c>
      <c r="E118" s="1" t="s">
        <v>74</v>
      </c>
      <c r="F118" s="1" t="s">
        <v>83</v>
      </c>
      <c r="G118" s="1" t="s">
        <v>73</v>
      </c>
      <c r="H118" s="1" t="s">
        <v>58</v>
      </c>
      <c r="I118" s="1" t="s">
        <v>60</v>
      </c>
      <c r="J118" s="1" t="s">
        <v>61</v>
      </c>
      <c r="K118" s="1" t="s">
        <v>30</v>
      </c>
      <c r="L118" s="4">
        <v>0.1</v>
      </c>
      <c r="M118" s="4">
        <v>0.1075</v>
      </c>
      <c r="N118" s="6">
        <f t="shared" si="1"/>
        <v>7.4999999999999928E-3</v>
      </c>
    </row>
    <row r="119" spans="1:14">
      <c r="A119" s="5">
        <v>46296</v>
      </c>
      <c r="B119" s="1" t="s">
        <v>85</v>
      </c>
      <c r="C119" s="1" t="s">
        <v>1</v>
      </c>
      <c r="D119" s="1" t="s">
        <v>86</v>
      </c>
      <c r="E119" s="1" t="s">
        <v>74</v>
      </c>
      <c r="F119" s="1" t="s">
        <v>83</v>
      </c>
      <c r="G119" s="1" t="s">
        <v>73</v>
      </c>
      <c r="H119" s="1" t="s">
        <v>58</v>
      </c>
      <c r="I119" s="1" t="s">
        <v>60</v>
      </c>
      <c r="J119" s="1" t="s">
        <v>61</v>
      </c>
      <c r="K119" s="1" t="s">
        <v>30</v>
      </c>
      <c r="L119" s="4">
        <v>0.1</v>
      </c>
      <c r="M119" s="4">
        <v>0.1085</v>
      </c>
      <c r="N119" s="6">
        <f t="shared" si="1"/>
        <v>8.4999999999999937E-3</v>
      </c>
    </row>
    <row r="120" spans="1:14">
      <c r="A120" s="5">
        <v>46327</v>
      </c>
      <c r="B120" s="1" t="s">
        <v>85</v>
      </c>
      <c r="C120" s="1" t="s">
        <v>1</v>
      </c>
      <c r="D120" s="1" t="s">
        <v>86</v>
      </c>
      <c r="E120" s="1" t="s">
        <v>74</v>
      </c>
      <c r="F120" s="1" t="s">
        <v>83</v>
      </c>
      <c r="G120" s="1" t="s">
        <v>73</v>
      </c>
      <c r="H120" s="1" t="s">
        <v>58</v>
      </c>
      <c r="I120" s="1" t="s">
        <v>60</v>
      </c>
      <c r="J120" s="1" t="s">
        <v>61</v>
      </c>
      <c r="K120" s="1" t="s">
        <v>30</v>
      </c>
      <c r="L120" s="4">
        <v>0.1</v>
      </c>
      <c r="M120" s="4">
        <v>0.1095</v>
      </c>
      <c r="N120" s="6">
        <f t="shared" si="1"/>
        <v>9.4999999999999946E-3</v>
      </c>
    </row>
    <row r="121" spans="1:14">
      <c r="A121" s="5">
        <v>46357</v>
      </c>
      <c r="B121" s="1" t="s">
        <v>85</v>
      </c>
      <c r="C121" s="1" t="s">
        <v>1</v>
      </c>
      <c r="D121" s="1" t="s">
        <v>86</v>
      </c>
      <c r="E121" s="1" t="s">
        <v>74</v>
      </c>
      <c r="F121" s="1" t="s">
        <v>83</v>
      </c>
      <c r="G121" s="1" t="s">
        <v>73</v>
      </c>
      <c r="H121" s="1" t="s">
        <v>58</v>
      </c>
      <c r="I121" s="1" t="s">
        <v>60</v>
      </c>
      <c r="J121" s="1" t="s">
        <v>61</v>
      </c>
      <c r="K121" s="1" t="s">
        <v>30</v>
      </c>
      <c r="L121" s="4">
        <v>0.1</v>
      </c>
      <c r="M121" s="4">
        <v>0.111</v>
      </c>
      <c r="N121" s="6">
        <f t="shared" si="1"/>
        <v>1.0999999999999996E-2</v>
      </c>
    </row>
    <row r="122" spans="1:14">
      <c r="A122" s="5">
        <v>46023</v>
      </c>
      <c r="B122" s="1" t="s">
        <v>88</v>
      </c>
      <c r="C122" s="1" t="s">
        <v>64</v>
      </c>
      <c r="D122" s="1" t="s">
        <v>73</v>
      </c>
      <c r="E122" s="1" t="s">
        <v>74</v>
      </c>
      <c r="F122" s="1" t="s">
        <v>89</v>
      </c>
      <c r="G122" s="1" t="s">
        <v>73</v>
      </c>
      <c r="H122" s="1" t="s">
        <v>58</v>
      </c>
      <c r="I122" s="1" t="s">
        <v>70</v>
      </c>
      <c r="J122" s="1" t="s">
        <v>78</v>
      </c>
      <c r="K122" s="1" t="s">
        <v>12</v>
      </c>
      <c r="L122" s="4">
        <v>0.16669999999999999</v>
      </c>
      <c r="M122" s="4">
        <v>0.19470000000000001</v>
      </c>
      <c r="N122" s="6">
        <f t="shared" si="1"/>
        <v>2.8000000000000025E-2</v>
      </c>
    </row>
    <row r="123" spans="1:14">
      <c r="A123" s="5">
        <v>46054</v>
      </c>
      <c r="B123" s="1" t="s">
        <v>88</v>
      </c>
      <c r="C123" s="1" t="s">
        <v>64</v>
      </c>
      <c r="D123" s="1" t="s">
        <v>73</v>
      </c>
      <c r="E123" s="1" t="s">
        <v>74</v>
      </c>
      <c r="F123" s="1" t="s">
        <v>89</v>
      </c>
      <c r="G123" s="1" t="s">
        <v>73</v>
      </c>
      <c r="H123" s="1" t="s">
        <v>58</v>
      </c>
      <c r="I123" s="1" t="s">
        <v>70</v>
      </c>
      <c r="J123" s="1" t="s">
        <v>78</v>
      </c>
      <c r="K123" s="1" t="s">
        <v>12</v>
      </c>
      <c r="L123" s="4">
        <v>0.16669999999999999</v>
      </c>
      <c r="M123" s="4">
        <v>0.19670000000000001</v>
      </c>
      <c r="N123" s="6">
        <f t="shared" si="1"/>
        <v>3.0000000000000027E-2</v>
      </c>
    </row>
    <row r="124" spans="1:14">
      <c r="A124" s="5">
        <v>46082</v>
      </c>
      <c r="B124" s="1" t="s">
        <v>88</v>
      </c>
      <c r="C124" s="1" t="s">
        <v>64</v>
      </c>
      <c r="D124" s="1" t="s">
        <v>73</v>
      </c>
      <c r="E124" s="1" t="s">
        <v>74</v>
      </c>
      <c r="F124" s="1" t="s">
        <v>89</v>
      </c>
      <c r="G124" s="1" t="s">
        <v>73</v>
      </c>
      <c r="H124" s="1" t="s">
        <v>58</v>
      </c>
      <c r="I124" s="1" t="s">
        <v>70</v>
      </c>
      <c r="J124" s="1" t="s">
        <v>78</v>
      </c>
      <c r="K124" s="1" t="s">
        <v>12</v>
      </c>
      <c r="L124" s="4">
        <v>0.16669999999999999</v>
      </c>
      <c r="M124" s="4">
        <v>0.19869999999999999</v>
      </c>
      <c r="N124" s="6">
        <f t="shared" si="1"/>
        <v>3.2000000000000001E-2</v>
      </c>
    </row>
    <row r="125" spans="1:14">
      <c r="A125" s="5">
        <v>46113</v>
      </c>
      <c r="B125" s="1" t="s">
        <v>88</v>
      </c>
      <c r="C125" s="1" t="s">
        <v>64</v>
      </c>
      <c r="D125" s="1" t="s">
        <v>73</v>
      </c>
      <c r="E125" s="1" t="s">
        <v>74</v>
      </c>
      <c r="F125" s="1" t="s">
        <v>89</v>
      </c>
      <c r="G125" s="1" t="s">
        <v>73</v>
      </c>
      <c r="H125" s="1" t="s">
        <v>58</v>
      </c>
      <c r="I125" s="1" t="s">
        <v>70</v>
      </c>
      <c r="J125" s="1" t="s">
        <v>78</v>
      </c>
      <c r="K125" s="1" t="s">
        <v>12</v>
      </c>
      <c r="L125" s="4">
        <v>0.16669999999999999</v>
      </c>
      <c r="M125" s="4">
        <v>0.20069999999999999</v>
      </c>
      <c r="N125" s="6">
        <f t="shared" si="1"/>
        <v>3.4000000000000002E-2</v>
      </c>
    </row>
    <row r="126" spans="1:14">
      <c r="A126" s="5">
        <v>46143</v>
      </c>
      <c r="B126" s="1" t="s">
        <v>88</v>
      </c>
      <c r="C126" s="1" t="s">
        <v>64</v>
      </c>
      <c r="D126" s="1" t="s">
        <v>73</v>
      </c>
      <c r="E126" s="1" t="s">
        <v>74</v>
      </c>
      <c r="F126" s="1" t="s">
        <v>89</v>
      </c>
      <c r="G126" s="1" t="s">
        <v>73</v>
      </c>
      <c r="H126" s="1" t="s">
        <v>58</v>
      </c>
      <c r="I126" s="1" t="s">
        <v>70</v>
      </c>
      <c r="J126" s="1" t="s">
        <v>78</v>
      </c>
      <c r="K126" s="1" t="s">
        <v>12</v>
      </c>
      <c r="L126" s="4">
        <v>0.16669999999999999</v>
      </c>
      <c r="M126" s="4">
        <v>0.20269999999999999</v>
      </c>
      <c r="N126" s="6">
        <f t="shared" si="1"/>
        <v>3.6000000000000004E-2</v>
      </c>
    </row>
    <row r="127" spans="1:14">
      <c r="A127" s="5">
        <v>46174</v>
      </c>
      <c r="B127" s="1" t="s">
        <v>88</v>
      </c>
      <c r="C127" s="1" t="s">
        <v>64</v>
      </c>
      <c r="D127" s="1" t="s">
        <v>73</v>
      </c>
      <c r="E127" s="1" t="s">
        <v>74</v>
      </c>
      <c r="F127" s="1" t="s">
        <v>89</v>
      </c>
      <c r="G127" s="1" t="s">
        <v>73</v>
      </c>
      <c r="H127" s="1" t="s">
        <v>58</v>
      </c>
      <c r="I127" s="1" t="s">
        <v>70</v>
      </c>
      <c r="J127" s="1" t="s">
        <v>78</v>
      </c>
      <c r="K127" s="1" t="s">
        <v>12</v>
      </c>
      <c r="L127" s="4">
        <v>0.16650000000000001</v>
      </c>
      <c r="M127" s="4">
        <v>0.20649999999999999</v>
      </c>
      <c r="N127" s="6">
        <f t="shared" si="1"/>
        <v>3.999999999999998E-2</v>
      </c>
    </row>
    <row r="128" spans="1:14">
      <c r="A128" s="5">
        <v>46204</v>
      </c>
      <c r="B128" s="1" t="s">
        <v>88</v>
      </c>
      <c r="C128" s="1" t="s">
        <v>64</v>
      </c>
      <c r="D128" s="1" t="s">
        <v>73</v>
      </c>
      <c r="E128" s="1" t="s">
        <v>74</v>
      </c>
      <c r="F128" s="1" t="s">
        <v>89</v>
      </c>
      <c r="G128" s="1" t="s">
        <v>73</v>
      </c>
      <c r="H128" s="1" t="s">
        <v>58</v>
      </c>
      <c r="I128" s="1" t="s">
        <v>70</v>
      </c>
      <c r="J128" s="1" t="s">
        <v>78</v>
      </c>
      <c r="K128" s="1" t="s">
        <v>27</v>
      </c>
      <c r="L128" s="4">
        <v>0.16669999999999999</v>
      </c>
      <c r="M128" s="4">
        <v>0.1797</v>
      </c>
      <c r="N128" s="6">
        <f t="shared" si="1"/>
        <v>1.3000000000000012E-2</v>
      </c>
    </row>
    <row r="129" spans="1:14">
      <c r="A129" s="5">
        <v>46235</v>
      </c>
      <c r="B129" s="1" t="s">
        <v>88</v>
      </c>
      <c r="C129" s="1" t="s">
        <v>64</v>
      </c>
      <c r="D129" s="1" t="s">
        <v>73</v>
      </c>
      <c r="E129" s="1" t="s">
        <v>74</v>
      </c>
      <c r="F129" s="1" t="s">
        <v>89</v>
      </c>
      <c r="G129" s="1" t="s">
        <v>73</v>
      </c>
      <c r="H129" s="1" t="s">
        <v>58</v>
      </c>
      <c r="I129" s="1" t="s">
        <v>70</v>
      </c>
      <c r="J129" s="1" t="s">
        <v>78</v>
      </c>
      <c r="K129" s="1" t="s">
        <v>30</v>
      </c>
      <c r="L129" s="4">
        <v>0.16669999999999999</v>
      </c>
      <c r="M129" s="4">
        <v>0.1807</v>
      </c>
      <c r="N129" s="6">
        <f t="shared" si="1"/>
        <v>1.4000000000000012E-2</v>
      </c>
    </row>
    <row r="130" spans="1:14">
      <c r="A130" s="5">
        <v>46266</v>
      </c>
      <c r="B130" s="1" t="s">
        <v>88</v>
      </c>
      <c r="C130" s="1" t="s">
        <v>64</v>
      </c>
      <c r="D130" s="1" t="s">
        <v>73</v>
      </c>
      <c r="E130" s="1" t="s">
        <v>74</v>
      </c>
      <c r="F130" s="1" t="s">
        <v>89</v>
      </c>
      <c r="G130" s="1" t="s">
        <v>73</v>
      </c>
      <c r="H130" s="1" t="s">
        <v>58</v>
      </c>
      <c r="I130" s="1" t="s">
        <v>70</v>
      </c>
      <c r="J130" s="1" t="s">
        <v>78</v>
      </c>
      <c r="K130" s="1" t="s">
        <v>30</v>
      </c>
      <c r="L130" s="4">
        <v>0.16669999999999999</v>
      </c>
      <c r="M130" s="4">
        <v>0.1817</v>
      </c>
      <c r="N130" s="6">
        <f t="shared" ref="N130:N193" si="2">M130-L130</f>
        <v>1.5000000000000013E-2</v>
      </c>
    </row>
    <row r="131" spans="1:14">
      <c r="A131" s="5">
        <v>46296</v>
      </c>
      <c r="B131" s="1" t="s">
        <v>88</v>
      </c>
      <c r="C131" s="1" t="s">
        <v>64</v>
      </c>
      <c r="D131" s="1" t="s">
        <v>73</v>
      </c>
      <c r="E131" s="1" t="s">
        <v>74</v>
      </c>
      <c r="F131" s="1" t="s">
        <v>89</v>
      </c>
      <c r="G131" s="1" t="s">
        <v>73</v>
      </c>
      <c r="H131" s="1" t="s">
        <v>58</v>
      </c>
      <c r="I131" s="1" t="s">
        <v>70</v>
      </c>
      <c r="J131" s="1" t="s">
        <v>78</v>
      </c>
      <c r="K131" s="1" t="s">
        <v>30</v>
      </c>
      <c r="L131" s="4">
        <v>0.16669999999999999</v>
      </c>
      <c r="M131" s="4">
        <v>0.1837</v>
      </c>
      <c r="N131" s="6">
        <f t="shared" si="2"/>
        <v>1.7000000000000015E-2</v>
      </c>
    </row>
    <row r="132" spans="1:14">
      <c r="A132" s="5">
        <v>46327</v>
      </c>
      <c r="B132" s="1" t="s">
        <v>88</v>
      </c>
      <c r="C132" s="1" t="s">
        <v>64</v>
      </c>
      <c r="D132" s="1" t="s">
        <v>73</v>
      </c>
      <c r="E132" s="1" t="s">
        <v>74</v>
      </c>
      <c r="F132" s="1" t="s">
        <v>89</v>
      </c>
      <c r="G132" s="1" t="s">
        <v>73</v>
      </c>
      <c r="H132" s="1" t="s">
        <v>58</v>
      </c>
      <c r="I132" s="1" t="s">
        <v>70</v>
      </c>
      <c r="J132" s="1" t="s">
        <v>78</v>
      </c>
      <c r="K132" s="1" t="s">
        <v>30</v>
      </c>
      <c r="L132" s="4">
        <v>0.16669999999999999</v>
      </c>
      <c r="M132" s="4">
        <v>0.1857</v>
      </c>
      <c r="N132" s="6">
        <f t="shared" si="2"/>
        <v>1.9000000000000017E-2</v>
      </c>
    </row>
    <row r="133" spans="1:14">
      <c r="A133" s="5">
        <v>46357</v>
      </c>
      <c r="B133" s="1" t="s">
        <v>88</v>
      </c>
      <c r="C133" s="1" t="s">
        <v>64</v>
      </c>
      <c r="D133" s="1" t="s">
        <v>73</v>
      </c>
      <c r="E133" s="1" t="s">
        <v>74</v>
      </c>
      <c r="F133" s="1" t="s">
        <v>89</v>
      </c>
      <c r="G133" s="1" t="s">
        <v>73</v>
      </c>
      <c r="H133" s="1" t="s">
        <v>58</v>
      </c>
      <c r="I133" s="1" t="s">
        <v>70</v>
      </c>
      <c r="J133" s="1" t="s">
        <v>78</v>
      </c>
      <c r="K133" s="1" t="s">
        <v>30</v>
      </c>
      <c r="L133" s="4">
        <v>0.16650000000000001</v>
      </c>
      <c r="M133" s="4">
        <v>0.1885</v>
      </c>
      <c r="N133" s="6">
        <f t="shared" si="2"/>
        <v>2.1999999999999992E-2</v>
      </c>
    </row>
    <row r="134" spans="1:14">
      <c r="A134" s="5">
        <v>46023</v>
      </c>
      <c r="B134" s="1" t="s">
        <v>90</v>
      </c>
      <c r="C134" s="1" t="s">
        <v>0</v>
      </c>
      <c r="D134" s="1" t="s">
        <v>82</v>
      </c>
      <c r="E134" s="1" t="s">
        <v>67</v>
      </c>
      <c r="F134" s="1" t="s">
        <v>91</v>
      </c>
      <c r="G134" s="1" t="s">
        <v>73</v>
      </c>
      <c r="H134" s="1" t="s">
        <v>58</v>
      </c>
      <c r="I134" s="1" t="s">
        <v>60</v>
      </c>
      <c r="J134" s="1" t="s">
        <v>61</v>
      </c>
      <c r="K134" s="1" t="s">
        <v>12</v>
      </c>
      <c r="L134" s="4">
        <v>0.26669999999999999</v>
      </c>
      <c r="M134" s="4">
        <v>0.29470000000000002</v>
      </c>
      <c r="N134" s="6">
        <f t="shared" si="2"/>
        <v>2.8000000000000025E-2</v>
      </c>
    </row>
    <row r="135" spans="1:14">
      <c r="A135" s="5">
        <v>46054</v>
      </c>
      <c r="B135" s="1" t="s">
        <v>90</v>
      </c>
      <c r="C135" s="1" t="s">
        <v>0</v>
      </c>
      <c r="D135" s="1" t="s">
        <v>82</v>
      </c>
      <c r="E135" s="1" t="s">
        <v>67</v>
      </c>
      <c r="F135" s="1" t="s">
        <v>91</v>
      </c>
      <c r="G135" s="1" t="s">
        <v>73</v>
      </c>
      <c r="H135" s="1" t="s">
        <v>58</v>
      </c>
      <c r="I135" s="1" t="s">
        <v>60</v>
      </c>
      <c r="J135" s="1" t="s">
        <v>61</v>
      </c>
      <c r="K135" s="1" t="s">
        <v>12</v>
      </c>
      <c r="L135" s="4">
        <v>0.26669999999999999</v>
      </c>
      <c r="M135" s="4">
        <v>0.29670000000000002</v>
      </c>
      <c r="N135" s="6">
        <f t="shared" si="2"/>
        <v>3.0000000000000027E-2</v>
      </c>
    </row>
    <row r="136" spans="1:14">
      <c r="A136" s="5">
        <v>46082</v>
      </c>
      <c r="B136" s="1" t="s">
        <v>90</v>
      </c>
      <c r="C136" s="1" t="s">
        <v>0</v>
      </c>
      <c r="D136" s="1" t="s">
        <v>82</v>
      </c>
      <c r="E136" s="1" t="s">
        <v>67</v>
      </c>
      <c r="F136" s="1" t="s">
        <v>91</v>
      </c>
      <c r="G136" s="1" t="s">
        <v>73</v>
      </c>
      <c r="H136" s="1" t="s">
        <v>58</v>
      </c>
      <c r="I136" s="1" t="s">
        <v>60</v>
      </c>
      <c r="J136" s="1" t="s">
        <v>61</v>
      </c>
      <c r="K136" s="1" t="s">
        <v>12</v>
      </c>
      <c r="L136" s="4">
        <v>0.26669999999999999</v>
      </c>
      <c r="M136" s="4">
        <v>0.29870000000000002</v>
      </c>
      <c r="N136" s="6">
        <f t="shared" si="2"/>
        <v>3.2000000000000028E-2</v>
      </c>
    </row>
    <row r="137" spans="1:14">
      <c r="A137" s="5">
        <v>46113</v>
      </c>
      <c r="B137" s="1" t="s">
        <v>90</v>
      </c>
      <c r="C137" s="1" t="s">
        <v>0</v>
      </c>
      <c r="D137" s="1" t="s">
        <v>82</v>
      </c>
      <c r="E137" s="1" t="s">
        <v>67</v>
      </c>
      <c r="F137" s="1" t="s">
        <v>91</v>
      </c>
      <c r="G137" s="1" t="s">
        <v>73</v>
      </c>
      <c r="H137" s="1" t="s">
        <v>58</v>
      </c>
      <c r="I137" s="1" t="s">
        <v>60</v>
      </c>
      <c r="J137" s="1" t="s">
        <v>61</v>
      </c>
      <c r="K137" s="1" t="s">
        <v>12</v>
      </c>
      <c r="L137" s="4">
        <v>0.26669999999999999</v>
      </c>
      <c r="M137" s="4">
        <v>0.30070000000000002</v>
      </c>
      <c r="N137" s="6">
        <f t="shared" si="2"/>
        <v>3.400000000000003E-2</v>
      </c>
    </row>
    <row r="138" spans="1:14">
      <c r="A138" s="5">
        <v>46143</v>
      </c>
      <c r="B138" s="1" t="s">
        <v>90</v>
      </c>
      <c r="C138" s="1" t="s">
        <v>0</v>
      </c>
      <c r="D138" s="1" t="s">
        <v>82</v>
      </c>
      <c r="E138" s="1" t="s">
        <v>67</v>
      </c>
      <c r="F138" s="1" t="s">
        <v>91</v>
      </c>
      <c r="G138" s="1" t="s">
        <v>73</v>
      </c>
      <c r="H138" s="1" t="s">
        <v>58</v>
      </c>
      <c r="I138" s="1" t="s">
        <v>60</v>
      </c>
      <c r="J138" s="1" t="s">
        <v>61</v>
      </c>
      <c r="K138" s="1" t="s">
        <v>12</v>
      </c>
      <c r="L138" s="4">
        <v>0.26669999999999999</v>
      </c>
      <c r="M138" s="4">
        <v>0.30270000000000002</v>
      </c>
      <c r="N138" s="6">
        <f t="shared" si="2"/>
        <v>3.6000000000000032E-2</v>
      </c>
    </row>
    <row r="139" spans="1:14">
      <c r="A139" s="5">
        <v>46174</v>
      </c>
      <c r="B139" s="1" t="s">
        <v>90</v>
      </c>
      <c r="C139" s="1" t="s">
        <v>0</v>
      </c>
      <c r="D139" s="1" t="s">
        <v>82</v>
      </c>
      <c r="E139" s="1" t="s">
        <v>67</v>
      </c>
      <c r="F139" s="1" t="s">
        <v>91</v>
      </c>
      <c r="G139" s="1" t="s">
        <v>73</v>
      </c>
      <c r="H139" s="1" t="s">
        <v>58</v>
      </c>
      <c r="I139" s="1" t="s">
        <v>60</v>
      </c>
      <c r="J139" s="1" t="s">
        <v>61</v>
      </c>
      <c r="K139" s="1" t="s">
        <v>12</v>
      </c>
      <c r="L139" s="4">
        <v>0.26650000000000001</v>
      </c>
      <c r="M139" s="4">
        <v>0.30649999999999999</v>
      </c>
      <c r="N139" s="6">
        <f t="shared" si="2"/>
        <v>3.999999999999998E-2</v>
      </c>
    </row>
    <row r="140" spans="1:14">
      <c r="A140" s="5">
        <v>46204</v>
      </c>
      <c r="B140" s="1" t="s">
        <v>90</v>
      </c>
      <c r="C140" s="1" t="s">
        <v>0</v>
      </c>
      <c r="D140" s="1" t="s">
        <v>82</v>
      </c>
      <c r="E140" s="1" t="s">
        <v>67</v>
      </c>
      <c r="F140" s="1" t="s">
        <v>91</v>
      </c>
      <c r="G140" s="1" t="s">
        <v>73</v>
      </c>
      <c r="H140" s="1" t="s">
        <v>58</v>
      </c>
      <c r="I140" s="1" t="s">
        <v>60</v>
      </c>
      <c r="J140" s="1" t="s">
        <v>61</v>
      </c>
      <c r="K140" s="1" t="s">
        <v>27</v>
      </c>
      <c r="L140" s="4">
        <v>0.26669999999999999</v>
      </c>
      <c r="M140" s="4">
        <v>0.2797</v>
      </c>
      <c r="N140" s="6">
        <f t="shared" si="2"/>
        <v>1.3000000000000012E-2</v>
      </c>
    </row>
    <row r="141" spans="1:14">
      <c r="A141" s="5">
        <v>46235</v>
      </c>
      <c r="B141" s="1" t="s">
        <v>90</v>
      </c>
      <c r="C141" s="1" t="s">
        <v>0</v>
      </c>
      <c r="D141" s="1" t="s">
        <v>82</v>
      </c>
      <c r="E141" s="1" t="s">
        <v>67</v>
      </c>
      <c r="F141" s="1" t="s">
        <v>91</v>
      </c>
      <c r="G141" s="1" t="s">
        <v>73</v>
      </c>
      <c r="H141" s="1" t="s">
        <v>58</v>
      </c>
      <c r="I141" s="1" t="s">
        <v>60</v>
      </c>
      <c r="J141" s="1" t="s">
        <v>61</v>
      </c>
      <c r="K141" s="1" t="s">
        <v>30</v>
      </c>
      <c r="L141" s="4">
        <v>0.26669999999999999</v>
      </c>
      <c r="M141" s="4">
        <v>0.28070000000000001</v>
      </c>
      <c r="N141" s="6">
        <f t="shared" si="2"/>
        <v>1.4000000000000012E-2</v>
      </c>
    </row>
    <row r="142" spans="1:14">
      <c r="A142" s="5">
        <v>46266</v>
      </c>
      <c r="B142" s="1" t="s">
        <v>90</v>
      </c>
      <c r="C142" s="1" t="s">
        <v>0</v>
      </c>
      <c r="D142" s="1" t="s">
        <v>82</v>
      </c>
      <c r="E142" s="1" t="s">
        <v>67</v>
      </c>
      <c r="F142" s="1" t="s">
        <v>91</v>
      </c>
      <c r="G142" s="1" t="s">
        <v>73</v>
      </c>
      <c r="H142" s="1" t="s">
        <v>58</v>
      </c>
      <c r="I142" s="1" t="s">
        <v>60</v>
      </c>
      <c r="J142" s="1" t="s">
        <v>61</v>
      </c>
      <c r="K142" s="1" t="s">
        <v>30</v>
      </c>
      <c r="L142" s="4">
        <v>0.26669999999999999</v>
      </c>
      <c r="M142" s="4">
        <v>0.28170000000000001</v>
      </c>
      <c r="N142" s="6">
        <f t="shared" si="2"/>
        <v>1.5000000000000013E-2</v>
      </c>
    </row>
    <row r="143" spans="1:14">
      <c r="A143" s="5">
        <v>46296</v>
      </c>
      <c r="B143" s="1" t="s">
        <v>90</v>
      </c>
      <c r="C143" s="1" t="s">
        <v>0</v>
      </c>
      <c r="D143" s="1" t="s">
        <v>82</v>
      </c>
      <c r="E143" s="1" t="s">
        <v>67</v>
      </c>
      <c r="F143" s="1" t="s">
        <v>91</v>
      </c>
      <c r="G143" s="1" t="s">
        <v>73</v>
      </c>
      <c r="H143" s="1" t="s">
        <v>58</v>
      </c>
      <c r="I143" s="1" t="s">
        <v>60</v>
      </c>
      <c r="J143" s="1" t="s">
        <v>61</v>
      </c>
      <c r="K143" s="1" t="s">
        <v>30</v>
      </c>
      <c r="L143" s="4">
        <v>0.26669999999999999</v>
      </c>
      <c r="M143" s="4">
        <v>0.28370000000000001</v>
      </c>
      <c r="N143" s="6">
        <f t="shared" si="2"/>
        <v>1.7000000000000015E-2</v>
      </c>
    </row>
    <row r="144" spans="1:14">
      <c r="A144" s="5">
        <v>46327</v>
      </c>
      <c r="B144" s="1" t="s">
        <v>90</v>
      </c>
      <c r="C144" s="1" t="s">
        <v>0</v>
      </c>
      <c r="D144" s="1" t="s">
        <v>82</v>
      </c>
      <c r="E144" s="1" t="s">
        <v>67</v>
      </c>
      <c r="F144" s="1" t="s">
        <v>91</v>
      </c>
      <c r="G144" s="1" t="s">
        <v>73</v>
      </c>
      <c r="H144" s="1" t="s">
        <v>58</v>
      </c>
      <c r="I144" s="1" t="s">
        <v>60</v>
      </c>
      <c r="J144" s="1" t="s">
        <v>61</v>
      </c>
      <c r="K144" s="1" t="s">
        <v>30</v>
      </c>
      <c r="L144" s="4">
        <v>0.26669999999999999</v>
      </c>
      <c r="M144" s="4">
        <v>0.28570000000000001</v>
      </c>
      <c r="N144" s="6">
        <f t="shared" si="2"/>
        <v>1.9000000000000017E-2</v>
      </c>
    </row>
    <row r="145" spans="1:14">
      <c r="A145" s="5">
        <v>46357</v>
      </c>
      <c r="B145" s="1" t="s">
        <v>90</v>
      </c>
      <c r="C145" s="1" t="s">
        <v>0</v>
      </c>
      <c r="D145" s="1" t="s">
        <v>82</v>
      </c>
      <c r="E145" s="1" t="s">
        <v>67</v>
      </c>
      <c r="F145" s="1" t="s">
        <v>91</v>
      </c>
      <c r="G145" s="1" t="s">
        <v>73</v>
      </c>
      <c r="H145" s="1" t="s">
        <v>58</v>
      </c>
      <c r="I145" s="1" t="s">
        <v>60</v>
      </c>
      <c r="J145" s="1" t="s">
        <v>61</v>
      </c>
      <c r="K145" s="1" t="s">
        <v>30</v>
      </c>
      <c r="L145" s="4">
        <v>0.26650000000000001</v>
      </c>
      <c r="M145" s="4">
        <v>0.28849999999999998</v>
      </c>
      <c r="N145" s="6">
        <f t="shared" si="2"/>
        <v>2.1999999999999964E-2</v>
      </c>
    </row>
    <row r="146" spans="1:14">
      <c r="A146" s="5">
        <v>46023</v>
      </c>
      <c r="B146" s="1" t="s">
        <v>92</v>
      </c>
      <c r="C146" s="1" t="s">
        <v>1</v>
      </c>
      <c r="D146" s="1" t="s">
        <v>86</v>
      </c>
      <c r="E146" s="1" t="s">
        <v>67</v>
      </c>
      <c r="F146" s="1" t="s">
        <v>91</v>
      </c>
      <c r="G146" s="1" t="s">
        <v>73</v>
      </c>
      <c r="H146" s="1" t="s">
        <v>58</v>
      </c>
      <c r="I146" s="1" t="s">
        <v>60</v>
      </c>
      <c r="J146" s="1" t="s">
        <v>61</v>
      </c>
      <c r="K146" s="1" t="s">
        <v>12</v>
      </c>
      <c r="L146" s="4">
        <v>0.15</v>
      </c>
      <c r="M146" s="4">
        <v>0.16400000000000001</v>
      </c>
      <c r="N146" s="6">
        <f t="shared" si="2"/>
        <v>1.4000000000000012E-2</v>
      </c>
    </row>
    <row r="147" spans="1:14">
      <c r="A147" s="5">
        <v>46054</v>
      </c>
      <c r="B147" s="1" t="s">
        <v>92</v>
      </c>
      <c r="C147" s="1" t="s">
        <v>1</v>
      </c>
      <c r="D147" s="1" t="s">
        <v>86</v>
      </c>
      <c r="E147" s="1" t="s">
        <v>67</v>
      </c>
      <c r="F147" s="1" t="s">
        <v>91</v>
      </c>
      <c r="G147" s="1" t="s">
        <v>73</v>
      </c>
      <c r="H147" s="1" t="s">
        <v>58</v>
      </c>
      <c r="I147" s="1" t="s">
        <v>60</v>
      </c>
      <c r="J147" s="1" t="s">
        <v>61</v>
      </c>
      <c r="K147" s="1" t="s">
        <v>12</v>
      </c>
      <c r="L147" s="4">
        <v>0.15</v>
      </c>
      <c r="M147" s="4">
        <v>0.16500000000000001</v>
      </c>
      <c r="N147" s="6">
        <f t="shared" si="2"/>
        <v>1.5000000000000013E-2</v>
      </c>
    </row>
    <row r="148" spans="1:14">
      <c r="A148" s="5">
        <v>46082</v>
      </c>
      <c r="B148" s="1" t="s">
        <v>92</v>
      </c>
      <c r="C148" s="1" t="s">
        <v>1</v>
      </c>
      <c r="D148" s="1" t="s">
        <v>86</v>
      </c>
      <c r="E148" s="1" t="s">
        <v>67</v>
      </c>
      <c r="F148" s="1" t="s">
        <v>91</v>
      </c>
      <c r="G148" s="1" t="s">
        <v>73</v>
      </c>
      <c r="H148" s="1" t="s">
        <v>58</v>
      </c>
      <c r="I148" s="1" t="s">
        <v>60</v>
      </c>
      <c r="J148" s="1" t="s">
        <v>61</v>
      </c>
      <c r="K148" s="1" t="s">
        <v>12</v>
      </c>
      <c r="L148" s="4">
        <v>0.15</v>
      </c>
      <c r="M148" s="4">
        <v>0.16600000000000001</v>
      </c>
      <c r="N148" s="6">
        <f t="shared" si="2"/>
        <v>1.6000000000000014E-2</v>
      </c>
    </row>
    <row r="149" spans="1:14">
      <c r="A149" s="5">
        <v>46113</v>
      </c>
      <c r="B149" s="1" t="s">
        <v>92</v>
      </c>
      <c r="C149" s="1" t="s">
        <v>1</v>
      </c>
      <c r="D149" s="1" t="s">
        <v>86</v>
      </c>
      <c r="E149" s="1" t="s">
        <v>67</v>
      </c>
      <c r="F149" s="1" t="s">
        <v>91</v>
      </c>
      <c r="G149" s="1" t="s">
        <v>73</v>
      </c>
      <c r="H149" s="1" t="s">
        <v>58</v>
      </c>
      <c r="I149" s="1" t="s">
        <v>60</v>
      </c>
      <c r="J149" s="1" t="s">
        <v>61</v>
      </c>
      <c r="K149" s="1" t="s">
        <v>12</v>
      </c>
      <c r="L149" s="4">
        <v>0.15</v>
      </c>
      <c r="M149" s="4">
        <v>0.16700000000000001</v>
      </c>
      <c r="N149" s="6">
        <f t="shared" si="2"/>
        <v>1.7000000000000015E-2</v>
      </c>
    </row>
    <row r="150" spans="1:14">
      <c r="A150" s="5">
        <v>46143</v>
      </c>
      <c r="B150" s="1" t="s">
        <v>92</v>
      </c>
      <c r="C150" s="1" t="s">
        <v>1</v>
      </c>
      <c r="D150" s="1" t="s">
        <v>86</v>
      </c>
      <c r="E150" s="1" t="s">
        <v>67</v>
      </c>
      <c r="F150" s="1" t="s">
        <v>91</v>
      </c>
      <c r="G150" s="1" t="s">
        <v>73</v>
      </c>
      <c r="H150" s="1" t="s">
        <v>58</v>
      </c>
      <c r="I150" s="1" t="s">
        <v>60</v>
      </c>
      <c r="J150" s="1" t="s">
        <v>61</v>
      </c>
      <c r="K150" s="1" t="s">
        <v>12</v>
      </c>
      <c r="L150" s="4">
        <v>0.15</v>
      </c>
      <c r="M150" s="4">
        <v>0.16800000000000001</v>
      </c>
      <c r="N150" s="6">
        <f t="shared" si="2"/>
        <v>1.8000000000000016E-2</v>
      </c>
    </row>
    <row r="151" spans="1:14">
      <c r="A151" s="5">
        <v>46174</v>
      </c>
      <c r="B151" s="1" t="s">
        <v>92</v>
      </c>
      <c r="C151" s="1" t="s">
        <v>1</v>
      </c>
      <c r="D151" s="1" t="s">
        <v>86</v>
      </c>
      <c r="E151" s="1" t="s">
        <v>67</v>
      </c>
      <c r="F151" s="1" t="s">
        <v>91</v>
      </c>
      <c r="G151" s="1" t="s">
        <v>73</v>
      </c>
      <c r="H151" s="1" t="s">
        <v>58</v>
      </c>
      <c r="I151" s="1" t="s">
        <v>60</v>
      </c>
      <c r="J151" s="1" t="s">
        <v>61</v>
      </c>
      <c r="K151" s="1" t="s">
        <v>12</v>
      </c>
      <c r="L151" s="4">
        <v>0.15</v>
      </c>
      <c r="M151" s="4">
        <v>0.17</v>
      </c>
      <c r="N151" s="6">
        <f t="shared" si="2"/>
        <v>2.0000000000000018E-2</v>
      </c>
    </row>
    <row r="152" spans="1:14">
      <c r="A152" s="5">
        <v>46204</v>
      </c>
      <c r="B152" s="1" t="s">
        <v>92</v>
      </c>
      <c r="C152" s="1" t="s">
        <v>1</v>
      </c>
      <c r="D152" s="1" t="s">
        <v>86</v>
      </c>
      <c r="E152" s="1" t="s">
        <v>67</v>
      </c>
      <c r="F152" s="1" t="s">
        <v>91</v>
      </c>
      <c r="G152" s="1" t="s">
        <v>73</v>
      </c>
      <c r="H152" s="1" t="s">
        <v>58</v>
      </c>
      <c r="I152" s="1" t="s">
        <v>60</v>
      </c>
      <c r="J152" s="1" t="s">
        <v>61</v>
      </c>
      <c r="K152" s="1" t="s">
        <v>27</v>
      </c>
      <c r="L152" s="4">
        <v>0.15</v>
      </c>
      <c r="M152" s="4">
        <v>0.16300000000000001</v>
      </c>
      <c r="N152" s="6">
        <f t="shared" si="2"/>
        <v>1.3000000000000012E-2</v>
      </c>
    </row>
    <row r="153" spans="1:14">
      <c r="A153" s="5">
        <v>46235</v>
      </c>
      <c r="B153" s="1" t="s">
        <v>92</v>
      </c>
      <c r="C153" s="1" t="s">
        <v>1</v>
      </c>
      <c r="D153" s="1" t="s">
        <v>86</v>
      </c>
      <c r="E153" s="1" t="s">
        <v>67</v>
      </c>
      <c r="F153" s="1" t="s">
        <v>91</v>
      </c>
      <c r="G153" s="1" t="s">
        <v>73</v>
      </c>
      <c r="H153" s="1" t="s">
        <v>58</v>
      </c>
      <c r="I153" s="1" t="s">
        <v>60</v>
      </c>
      <c r="J153" s="1" t="s">
        <v>61</v>
      </c>
      <c r="K153" s="1" t="s">
        <v>30</v>
      </c>
      <c r="L153" s="4">
        <v>0.15</v>
      </c>
      <c r="M153" s="4">
        <v>0.16400000000000001</v>
      </c>
      <c r="N153" s="6">
        <f t="shared" si="2"/>
        <v>1.4000000000000012E-2</v>
      </c>
    </row>
    <row r="154" spans="1:14">
      <c r="A154" s="5">
        <v>46266</v>
      </c>
      <c r="B154" s="1" t="s">
        <v>92</v>
      </c>
      <c r="C154" s="1" t="s">
        <v>1</v>
      </c>
      <c r="D154" s="1" t="s">
        <v>86</v>
      </c>
      <c r="E154" s="1" t="s">
        <v>67</v>
      </c>
      <c r="F154" s="1" t="s">
        <v>91</v>
      </c>
      <c r="G154" s="1" t="s">
        <v>73</v>
      </c>
      <c r="H154" s="1" t="s">
        <v>58</v>
      </c>
      <c r="I154" s="1" t="s">
        <v>60</v>
      </c>
      <c r="J154" s="1" t="s">
        <v>61</v>
      </c>
      <c r="K154" s="1" t="s">
        <v>30</v>
      </c>
      <c r="L154" s="4">
        <v>0.15</v>
      </c>
      <c r="M154" s="4">
        <v>0.16500000000000001</v>
      </c>
      <c r="N154" s="6">
        <f t="shared" si="2"/>
        <v>1.5000000000000013E-2</v>
      </c>
    </row>
    <row r="155" spans="1:14">
      <c r="A155" s="5">
        <v>46296</v>
      </c>
      <c r="B155" s="1" t="s">
        <v>92</v>
      </c>
      <c r="C155" s="1" t="s">
        <v>1</v>
      </c>
      <c r="D155" s="1" t="s">
        <v>86</v>
      </c>
      <c r="E155" s="1" t="s">
        <v>67</v>
      </c>
      <c r="F155" s="1" t="s">
        <v>91</v>
      </c>
      <c r="G155" s="1" t="s">
        <v>73</v>
      </c>
      <c r="H155" s="1" t="s">
        <v>58</v>
      </c>
      <c r="I155" s="1" t="s">
        <v>60</v>
      </c>
      <c r="J155" s="1" t="s">
        <v>61</v>
      </c>
      <c r="K155" s="1" t="s">
        <v>30</v>
      </c>
      <c r="L155" s="4">
        <v>0.15</v>
      </c>
      <c r="M155" s="4">
        <v>0.16700000000000001</v>
      </c>
      <c r="N155" s="6">
        <f t="shared" si="2"/>
        <v>1.7000000000000015E-2</v>
      </c>
    </row>
    <row r="156" spans="1:14">
      <c r="A156" s="5">
        <v>46327</v>
      </c>
      <c r="B156" s="1" t="s">
        <v>92</v>
      </c>
      <c r="C156" s="1" t="s">
        <v>1</v>
      </c>
      <c r="D156" s="1" t="s">
        <v>86</v>
      </c>
      <c r="E156" s="1" t="s">
        <v>67</v>
      </c>
      <c r="F156" s="1" t="s">
        <v>91</v>
      </c>
      <c r="G156" s="1" t="s">
        <v>73</v>
      </c>
      <c r="H156" s="1" t="s">
        <v>58</v>
      </c>
      <c r="I156" s="1" t="s">
        <v>60</v>
      </c>
      <c r="J156" s="1" t="s">
        <v>61</v>
      </c>
      <c r="K156" s="1" t="s">
        <v>30</v>
      </c>
      <c r="L156" s="4">
        <v>0.15</v>
      </c>
      <c r="M156" s="4">
        <v>0.16900000000000001</v>
      </c>
      <c r="N156" s="6">
        <f t="shared" si="2"/>
        <v>1.9000000000000017E-2</v>
      </c>
    </row>
    <row r="157" spans="1:14">
      <c r="A157" s="5">
        <v>46357</v>
      </c>
      <c r="B157" s="1" t="s">
        <v>92</v>
      </c>
      <c r="C157" s="1" t="s">
        <v>1</v>
      </c>
      <c r="D157" s="1" t="s">
        <v>86</v>
      </c>
      <c r="E157" s="1" t="s">
        <v>67</v>
      </c>
      <c r="F157" s="1" t="s">
        <v>91</v>
      </c>
      <c r="G157" s="1" t="s">
        <v>73</v>
      </c>
      <c r="H157" s="1" t="s">
        <v>58</v>
      </c>
      <c r="I157" s="1" t="s">
        <v>60</v>
      </c>
      <c r="J157" s="1" t="s">
        <v>61</v>
      </c>
      <c r="K157" s="1" t="s">
        <v>30</v>
      </c>
      <c r="L157" s="4">
        <v>0.15</v>
      </c>
      <c r="M157" s="4">
        <v>0.17199999999999999</v>
      </c>
      <c r="N157" s="6">
        <f t="shared" si="2"/>
        <v>2.1999999999999992E-2</v>
      </c>
    </row>
    <row r="158" spans="1:14">
      <c r="A158" s="5">
        <v>46023</v>
      </c>
      <c r="B158" s="1" t="s">
        <v>93</v>
      </c>
      <c r="C158" s="1" t="s">
        <v>0</v>
      </c>
      <c r="D158" s="1" t="s">
        <v>94</v>
      </c>
      <c r="E158" s="1" t="s">
        <v>95</v>
      </c>
      <c r="F158" s="1" t="s">
        <v>96</v>
      </c>
      <c r="G158" s="1" t="s">
        <v>97</v>
      </c>
      <c r="H158" s="1" t="s">
        <v>58</v>
      </c>
      <c r="I158" s="1" t="s">
        <v>60</v>
      </c>
      <c r="J158" s="1" t="s">
        <v>78</v>
      </c>
      <c r="K158" s="1" t="s">
        <v>12</v>
      </c>
      <c r="L158" s="4">
        <v>0.66669999999999996</v>
      </c>
      <c r="M158" s="4">
        <v>0.69469999999999998</v>
      </c>
      <c r="N158" s="6">
        <f t="shared" si="2"/>
        <v>2.8000000000000025E-2</v>
      </c>
    </row>
    <row r="159" spans="1:14">
      <c r="A159" s="5">
        <v>46054</v>
      </c>
      <c r="B159" s="1" t="s">
        <v>93</v>
      </c>
      <c r="C159" s="1" t="s">
        <v>0</v>
      </c>
      <c r="D159" s="1" t="s">
        <v>94</v>
      </c>
      <c r="E159" s="1" t="s">
        <v>95</v>
      </c>
      <c r="F159" s="1" t="s">
        <v>96</v>
      </c>
      <c r="G159" s="1" t="s">
        <v>97</v>
      </c>
      <c r="H159" s="1" t="s">
        <v>58</v>
      </c>
      <c r="I159" s="1" t="s">
        <v>60</v>
      </c>
      <c r="J159" s="1" t="s">
        <v>78</v>
      </c>
      <c r="K159" s="1" t="s">
        <v>12</v>
      </c>
      <c r="L159" s="4">
        <v>0.66669999999999996</v>
      </c>
      <c r="M159" s="4">
        <v>0.69669999999999999</v>
      </c>
      <c r="N159" s="6">
        <f t="shared" si="2"/>
        <v>3.0000000000000027E-2</v>
      </c>
    </row>
    <row r="160" spans="1:14">
      <c r="A160" s="5">
        <v>46082</v>
      </c>
      <c r="B160" s="1" t="s">
        <v>93</v>
      </c>
      <c r="C160" s="1" t="s">
        <v>0</v>
      </c>
      <c r="D160" s="1" t="s">
        <v>94</v>
      </c>
      <c r="E160" s="1" t="s">
        <v>95</v>
      </c>
      <c r="F160" s="1" t="s">
        <v>96</v>
      </c>
      <c r="G160" s="1" t="s">
        <v>97</v>
      </c>
      <c r="H160" s="1" t="s">
        <v>58</v>
      </c>
      <c r="I160" s="1" t="s">
        <v>60</v>
      </c>
      <c r="J160" s="1" t="s">
        <v>78</v>
      </c>
      <c r="K160" s="1" t="s">
        <v>12</v>
      </c>
      <c r="L160" s="4">
        <v>0.66669999999999996</v>
      </c>
      <c r="M160" s="4">
        <v>0.69869999999999999</v>
      </c>
      <c r="N160" s="6">
        <f t="shared" si="2"/>
        <v>3.2000000000000028E-2</v>
      </c>
    </row>
    <row r="161" spans="1:14">
      <c r="A161" s="5">
        <v>46113</v>
      </c>
      <c r="B161" s="1" t="s">
        <v>93</v>
      </c>
      <c r="C161" s="1" t="s">
        <v>0</v>
      </c>
      <c r="D161" s="1" t="s">
        <v>94</v>
      </c>
      <c r="E161" s="1" t="s">
        <v>95</v>
      </c>
      <c r="F161" s="1" t="s">
        <v>96</v>
      </c>
      <c r="G161" s="1" t="s">
        <v>97</v>
      </c>
      <c r="H161" s="1" t="s">
        <v>58</v>
      </c>
      <c r="I161" s="1" t="s">
        <v>60</v>
      </c>
      <c r="J161" s="1" t="s">
        <v>78</v>
      </c>
      <c r="K161" s="1" t="s">
        <v>12</v>
      </c>
      <c r="L161" s="4">
        <v>0.66669999999999996</v>
      </c>
      <c r="M161" s="4">
        <v>0.70069999999999999</v>
      </c>
      <c r="N161" s="6">
        <f t="shared" si="2"/>
        <v>3.400000000000003E-2</v>
      </c>
    </row>
    <row r="162" spans="1:14">
      <c r="A162" s="5">
        <v>46143</v>
      </c>
      <c r="B162" s="1" t="s">
        <v>93</v>
      </c>
      <c r="C162" s="1" t="s">
        <v>0</v>
      </c>
      <c r="D162" s="1" t="s">
        <v>94</v>
      </c>
      <c r="E162" s="1" t="s">
        <v>95</v>
      </c>
      <c r="F162" s="1" t="s">
        <v>96</v>
      </c>
      <c r="G162" s="1" t="s">
        <v>97</v>
      </c>
      <c r="H162" s="1" t="s">
        <v>58</v>
      </c>
      <c r="I162" s="1" t="s">
        <v>60</v>
      </c>
      <c r="J162" s="1" t="s">
        <v>78</v>
      </c>
      <c r="K162" s="1" t="s">
        <v>12</v>
      </c>
      <c r="L162" s="4">
        <v>0.66669999999999996</v>
      </c>
      <c r="M162" s="4">
        <v>0.70269999999999999</v>
      </c>
      <c r="N162" s="6">
        <f t="shared" si="2"/>
        <v>3.6000000000000032E-2</v>
      </c>
    </row>
    <row r="163" spans="1:14">
      <c r="A163" s="5">
        <v>46174</v>
      </c>
      <c r="B163" s="1" t="s">
        <v>93</v>
      </c>
      <c r="C163" s="1" t="s">
        <v>0</v>
      </c>
      <c r="D163" s="1" t="s">
        <v>94</v>
      </c>
      <c r="E163" s="1" t="s">
        <v>95</v>
      </c>
      <c r="F163" s="1" t="s">
        <v>96</v>
      </c>
      <c r="G163" s="1" t="s">
        <v>97</v>
      </c>
      <c r="H163" s="1" t="s">
        <v>58</v>
      </c>
      <c r="I163" s="1" t="s">
        <v>60</v>
      </c>
      <c r="J163" s="1" t="s">
        <v>78</v>
      </c>
      <c r="K163" s="1" t="s">
        <v>12</v>
      </c>
      <c r="L163" s="4">
        <v>0.66649999999999998</v>
      </c>
      <c r="M163" s="4">
        <v>0.70650000000000002</v>
      </c>
      <c r="N163" s="6">
        <f t="shared" si="2"/>
        <v>4.0000000000000036E-2</v>
      </c>
    </row>
    <row r="164" spans="1:14">
      <c r="A164" s="5">
        <v>46204</v>
      </c>
      <c r="B164" s="1" t="s">
        <v>93</v>
      </c>
      <c r="C164" s="1" t="s">
        <v>0</v>
      </c>
      <c r="D164" s="1" t="s">
        <v>94</v>
      </c>
      <c r="E164" s="1" t="s">
        <v>95</v>
      </c>
      <c r="F164" s="1" t="s">
        <v>96</v>
      </c>
      <c r="G164" s="1" t="s">
        <v>97</v>
      </c>
      <c r="H164" s="1" t="s">
        <v>58</v>
      </c>
      <c r="I164" s="1" t="s">
        <v>60</v>
      </c>
      <c r="J164" s="1" t="s">
        <v>78</v>
      </c>
      <c r="K164" s="1" t="s">
        <v>27</v>
      </c>
      <c r="L164" s="4">
        <v>0.66669999999999996</v>
      </c>
      <c r="M164" s="4">
        <v>0.67969999999999997</v>
      </c>
      <c r="N164" s="6">
        <f t="shared" si="2"/>
        <v>1.3000000000000012E-2</v>
      </c>
    </row>
    <row r="165" spans="1:14">
      <c r="A165" s="5">
        <v>46235</v>
      </c>
      <c r="B165" s="1" t="s">
        <v>93</v>
      </c>
      <c r="C165" s="1" t="s">
        <v>0</v>
      </c>
      <c r="D165" s="1" t="s">
        <v>94</v>
      </c>
      <c r="E165" s="1" t="s">
        <v>95</v>
      </c>
      <c r="F165" s="1" t="s">
        <v>96</v>
      </c>
      <c r="G165" s="1" t="s">
        <v>97</v>
      </c>
      <c r="H165" s="1" t="s">
        <v>58</v>
      </c>
      <c r="I165" s="1" t="s">
        <v>60</v>
      </c>
      <c r="J165" s="1" t="s">
        <v>78</v>
      </c>
      <c r="K165" s="1" t="s">
        <v>30</v>
      </c>
      <c r="L165" s="4">
        <v>0.66669999999999996</v>
      </c>
      <c r="M165" s="4">
        <v>0.68069999999999997</v>
      </c>
      <c r="N165" s="6">
        <f t="shared" si="2"/>
        <v>1.4000000000000012E-2</v>
      </c>
    </row>
    <row r="166" spans="1:14">
      <c r="A166" s="5">
        <v>46266</v>
      </c>
      <c r="B166" s="1" t="s">
        <v>93</v>
      </c>
      <c r="C166" s="1" t="s">
        <v>0</v>
      </c>
      <c r="D166" s="1" t="s">
        <v>94</v>
      </c>
      <c r="E166" s="1" t="s">
        <v>95</v>
      </c>
      <c r="F166" s="1" t="s">
        <v>96</v>
      </c>
      <c r="G166" s="1" t="s">
        <v>97</v>
      </c>
      <c r="H166" s="1" t="s">
        <v>58</v>
      </c>
      <c r="I166" s="1" t="s">
        <v>60</v>
      </c>
      <c r="J166" s="1" t="s">
        <v>78</v>
      </c>
      <c r="K166" s="1" t="s">
        <v>30</v>
      </c>
      <c r="L166" s="4">
        <v>0.66669999999999996</v>
      </c>
      <c r="M166" s="4">
        <v>0.68169999999999997</v>
      </c>
      <c r="N166" s="6">
        <f t="shared" si="2"/>
        <v>1.5000000000000013E-2</v>
      </c>
    </row>
    <row r="167" spans="1:14">
      <c r="A167" s="5">
        <v>46296</v>
      </c>
      <c r="B167" s="1" t="s">
        <v>93</v>
      </c>
      <c r="C167" s="1" t="s">
        <v>0</v>
      </c>
      <c r="D167" s="1" t="s">
        <v>94</v>
      </c>
      <c r="E167" s="1" t="s">
        <v>95</v>
      </c>
      <c r="F167" s="1" t="s">
        <v>96</v>
      </c>
      <c r="G167" s="1" t="s">
        <v>97</v>
      </c>
      <c r="H167" s="1" t="s">
        <v>58</v>
      </c>
      <c r="I167" s="1" t="s">
        <v>60</v>
      </c>
      <c r="J167" s="1" t="s">
        <v>78</v>
      </c>
      <c r="K167" s="1" t="s">
        <v>30</v>
      </c>
      <c r="L167" s="4">
        <v>0.66669999999999996</v>
      </c>
      <c r="M167" s="4">
        <v>0.68369999999999997</v>
      </c>
      <c r="N167" s="6">
        <f t="shared" si="2"/>
        <v>1.7000000000000015E-2</v>
      </c>
    </row>
    <row r="168" spans="1:14">
      <c r="A168" s="5">
        <v>46327</v>
      </c>
      <c r="B168" s="1" t="s">
        <v>93</v>
      </c>
      <c r="C168" s="1" t="s">
        <v>0</v>
      </c>
      <c r="D168" s="1" t="s">
        <v>94</v>
      </c>
      <c r="E168" s="1" t="s">
        <v>95</v>
      </c>
      <c r="F168" s="1" t="s">
        <v>96</v>
      </c>
      <c r="G168" s="1" t="s">
        <v>97</v>
      </c>
      <c r="H168" s="1" t="s">
        <v>58</v>
      </c>
      <c r="I168" s="1" t="s">
        <v>60</v>
      </c>
      <c r="J168" s="1" t="s">
        <v>78</v>
      </c>
      <c r="K168" s="1" t="s">
        <v>30</v>
      </c>
      <c r="L168" s="4">
        <v>0.66669999999999996</v>
      </c>
      <c r="M168" s="4">
        <v>0.68569999999999998</v>
      </c>
      <c r="N168" s="6">
        <f t="shared" si="2"/>
        <v>1.9000000000000017E-2</v>
      </c>
    </row>
    <row r="169" spans="1:14">
      <c r="A169" s="5">
        <v>46357</v>
      </c>
      <c r="B169" s="1" t="s">
        <v>93</v>
      </c>
      <c r="C169" s="1" t="s">
        <v>0</v>
      </c>
      <c r="D169" s="1" t="s">
        <v>94</v>
      </c>
      <c r="E169" s="1" t="s">
        <v>95</v>
      </c>
      <c r="F169" s="1" t="s">
        <v>96</v>
      </c>
      <c r="G169" s="1" t="s">
        <v>97</v>
      </c>
      <c r="H169" s="1" t="s">
        <v>58</v>
      </c>
      <c r="I169" s="1" t="s">
        <v>60</v>
      </c>
      <c r="J169" s="1" t="s">
        <v>78</v>
      </c>
      <c r="K169" s="1" t="s">
        <v>30</v>
      </c>
      <c r="L169" s="4">
        <v>0.66649999999999998</v>
      </c>
      <c r="M169" s="4">
        <v>0.6885</v>
      </c>
      <c r="N169" s="6">
        <f t="shared" si="2"/>
        <v>2.200000000000002E-2</v>
      </c>
    </row>
    <row r="170" spans="1:14">
      <c r="A170" s="5">
        <v>46023</v>
      </c>
      <c r="B170" s="1" t="s">
        <v>99</v>
      </c>
      <c r="C170" s="1" t="s">
        <v>0</v>
      </c>
      <c r="D170" s="1" t="s">
        <v>100</v>
      </c>
      <c r="E170" s="1" t="s">
        <v>95</v>
      </c>
      <c r="F170" s="1" t="s">
        <v>101</v>
      </c>
      <c r="G170" s="1" t="s">
        <v>97</v>
      </c>
      <c r="H170" s="1" t="s">
        <v>58</v>
      </c>
      <c r="I170" s="1" t="s">
        <v>60</v>
      </c>
      <c r="J170" s="1" t="s">
        <v>78</v>
      </c>
      <c r="K170" s="1" t="s">
        <v>12</v>
      </c>
      <c r="L170" s="4">
        <v>0.5</v>
      </c>
      <c r="M170" s="4">
        <v>0.52100000000000002</v>
      </c>
      <c r="N170" s="6">
        <f t="shared" si="2"/>
        <v>2.1000000000000019E-2</v>
      </c>
    </row>
    <row r="171" spans="1:14">
      <c r="A171" s="5">
        <v>46054</v>
      </c>
      <c r="B171" s="1" t="s">
        <v>99</v>
      </c>
      <c r="C171" s="1" t="s">
        <v>0</v>
      </c>
      <c r="D171" s="1" t="s">
        <v>100</v>
      </c>
      <c r="E171" s="1" t="s">
        <v>95</v>
      </c>
      <c r="F171" s="1" t="s">
        <v>101</v>
      </c>
      <c r="G171" s="1" t="s">
        <v>97</v>
      </c>
      <c r="H171" s="1" t="s">
        <v>58</v>
      </c>
      <c r="I171" s="1" t="s">
        <v>60</v>
      </c>
      <c r="J171" s="1" t="s">
        <v>78</v>
      </c>
      <c r="K171" s="1" t="s">
        <v>12</v>
      </c>
      <c r="L171" s="4">
        <v>0.5</v>
      </c>
      <c r="M171" s="4">
        <v>0.52249999999999996</v>
      </c>
      <c r="N171" s="6">
        <f t="shared" si="2"/>
        <v>2.2499999999999964E-2</v>
      </c>
    </row>
    <row r="172" spans="1:14">
      <c r="A172" s="5">
        <v>46082</v>
      </c>
      <c r="B172" s="1" t="s">
        <v>99</v>
      </c>
      <c r="C172" s="1" t="s">
        <v>0</v>
      </c>
      <c r="D172" s="1" t="s">
        <v>100</v>
      </c>
      <c r="E172" s="1" t="s">
        <v>95</v>
      </c>
      <c r="F172" s="1" t="s">
        <v>101</v>
      </c>
      <c r="G172" s="1" t="s">
        <v>97</v>
      </c>
      <c r="H172" s="1" t="s">
        <v>58</v>
      </c>
      <c r="I172" s="1" t="s">
        <v>60</v>
      </c>
      <c r="J172" s="1" t="s">
        <v>78</v>
      </c>
      <c r="K172" s="1" t="s">
        <v>12</v>
      </c>
      <c r="L172" s="4">
        <v>0.5</v>
      </c>
      <c r="M172" s="4">
        <v>0.52400000000000002</v>
      </c>
      <c r="N172" s="6">
        <f t="shared" si="2"/>
        <v>2.4000000000000021E-2</v>
      </c>
    </row>
    <row r="173" spans="1:14">
      <c r="A173" s="5">
        <v>46113</v>
      </c>
      <c r="B173" s="1" t="s">
        <v>99</v>
      </c>
      <c r="C173" s="1" t="s">
        <v>0</v>
      </c>
      <c r="D173" s="1" t="s">
        <v>100</v>
      </c>
      <c r="E173" s="1" t="s">
        <v>95</v>
      </c>
      <c r="F173" s="1" t="s">
        <v>101</v>
      </c>
      <c r="G173" s="1" t="s">
        <v>97</v>
      </c>
      <c r="H173" s="1" t="s">
        <v>58</v>
      </c>
      <c r="I173" s="1" t="s">
        <v>60</v>
      </c>
      <c r="J173" s="1" t="s">
        <v>78</v>
      </c>
      <c r="K173" s="1" t="s">
        <v>12</v>
      </c>
      <c r="L173" s="4">
        <v>0.5</v>
      </c>
      <c r="M173" s="4">
        <v>0.52549999999999997</v>
      </c>
      <c r="N173" s="6">
        <f t="shared" si="2"/>
        <v>2.5499999999999967E-2</v>
      </c>
    </row>
    <row r="174" spans="1:14">
      <c r="A174" s="5">
        <v>46143</v>
      </c>
      <c r="B174" s="1" t="s">
        <v>99</v>
      </c>
      <c r="C174" s="1" t="s">
        <v>0</v>
      </c>
      <c r="D174" s="1" t="s">
        <v>100</v>
      </c>
      <c r="E174" s="1" t="s">
        <v>95</v>
      </c>
      <c r="F174" s="1" t="s">
        <v>101</v>
      </c>
      <c r="G174" s="1" t="s">
        <v>97</v>
      </c>
      <c r="H174" s="1" t="s">
        <v>58</v>
      </c>
      <c r="I174" s="1" t="s">
        <v>60</v>
      </c>
      <c r="J174" s="1" t="s">
        <v>78</v>
      </c>
      <c r="K174" s="1" t="s">
        <v>12</v>
      </c>
      <c r="L174" s="4">
        <v>0.5</v>
      </c>
      <c r="M174" s="4">
        <v>0.52700000000000002</v>
      </c>
      <c r="N174" s="6">
        <f t="shared" si="2"/>
        <v>2.7000000000000024E-2</v>
      </c>
    </row>
    <row r="175" spans="1:14">
      <c r="A175" s="5">
        <v>46174</v>
      </c>
      <c r="B175" s="1" t="s">
        <v>99</v>
      </c>
      <c r="C175" s="1" t="s">
        <v>0</v>
      </c>
      <c r="D175" s="1" t="s">
        <v>100</v>
      </c>
      <c r="E175" s="1" t="s">
        <v>95</v>
      </c>
      <c r="F175" s="1" t="s">
        <v>101</v>
      </c>
      <c r="G175" s="1" t="s">
        <v>97</v>
      </c>
      <c r="H175" s="1" t="s">
        <v>58</v>
      </c>
      <c r="I175" s="1" t="s">
        <v>60</v>
      </c>
      <c r="J175" s="1" t="s">
        <v>78</v>
      </c>
      <c r="K175" s="1" t="s">
        <v>12</v>
      </c>
      <c r="L175" s="4">
        <v>0.5</v>
      </c>
      <c r="M175" s="4">
        <v>0.53</v>
      </c>
      <c r="N175" s="6">
        <f t="shared" si="2"/>
        <v>3.0000000000000027E-2</v>
      </c>
    </row>
    <row r="176" spans="1:14">
      <c r="A176" s="5">
        <v>46204</v>
      </c>
      <c r="B176" s="1" t="s">
        <v>99</v>
      </c>
      <c r="C176" s="1" t="s">
        <v>0</v>
      </c>
      <c r="D176" s="1" t="s">
        <v>100</v>
      </c>
      <c r="E176" s="1" t="s">
        <v>95</v>
      </c>
      <c r="F176" s="1" t="s">
        <v>101</v>
      </c>
      <c r="G176" s="1" t="s">
        <v>97</v>
      </c>
      <c r="H176" s="1" t="s">
        <v>58</v>
      </c>
      <c r="I176" s="1" t="s">
        <v>60</v>
      </c>
      <c r="J176" s="1" t="s">
        <v>78</v>
      </c>
      <c r="K176" s="1" t="s">
        <v>27</v>
      </c>
      <c r="L176" s="4">
        <v>0.5</v>
      </c>
      <c r="M176" s="4">
        <v>0.51300000000000001</v>
      </c>
      <c r="N176" s="6">
        <f t="shared" si="2"/>
        <v>1.3000000000000012E-2</v>
      </c>
    </row>
    <row r="177" spans="1:14">
      <c r="A177" s="5">
        <v>46235</v>
      </c>
      <c r="B177" s="1" t="s">
        <v>99</v>
      </c>
      <c r="C177" s="1" t="s">
        <v>0</v>
      </c>
      <c r="D177" s="1" t="s">
        <v>100</v>
      </c>
      <c r="E177" s="1" t="s">
        <v>95</v>
      </c>
      <c r="F177" s="1" t="s">
        <v>101</v>
      </c>
      <c r="G177" s="1" t="s">
        <v>97</v>
      </c>
      <c r="H177" s="1" t="s">
        <v>58</v>
      </c>
      <c r="I177" s="1" t="s">
        <v>60</v>
      </c>
      <c r="J177" s="1" t="s">
        <v>78</v>
      </c>
      <c r="K177" s="1" t="s">
        <v>30</v>
      </c>
      <c r="L177" s="4">
        <v>0.5</v>
      </c>
      <c r="M177" s="4">
        <v>0.51400000000000001</v>
      </c>
      <c r="N177" s="6">
        <f t="shared" si="2"/>
        <v>1.4000000000000012E-2</v>
      </c>
    </row>
    <row r="178" spans="1:14">
      <c r="A178" s="5">
        <v>46266</v>
      </c>
      <c r="B178" s="1" t="s">
        <v>99</v>
      </c>
      <c r="C178" s="1" t="s">
        <v>0</v>
      </c>
      <c r="D178" s="1" t="s">
        <v>100</v>
      </c>
      <c r="E178" s="1" t="s">
        <v>95</v>
      </c>
      <c r="F178" s="1" t="s">
        <v>101</v>
      </c>
      <c r="G178" s="1" t="s">
        <v>97</v>
      </c>
      <c r="H178" s="1" t="s">
        <v>58</v>
      </c>
      <c r="I178" s="1" t="s">
        <v>60</v>
      </c>
      <c r="J178" s="1" t="s">
        <v>78</v>
      </c>
      <c r="K178" s="1" t="s">
        <v>30</v>
      </c>
      <c r="L178" s="4">
        <v>0.5</v>
      </c>
      <c r="M178" s="4">
        <v>0.51500000000000001</v>
      </c>
      <c r="N178" s="6">
        <f t="shared" si="2"/>
        <v>1.5000000000000013E-2</v>
      </c>
    </row>
    <row r="179" spans="1:14">
      <c r="A179" s="5">
        <v>46296</v>
      </c>
      <c r="B179" s="1" t="s">
        <v>99</v>
      </c>
      <c r="C179" s="1" t="s">
        <v>0</v>
      </c>
      <c r="D179" s="1" t="s">
        <v>100</v>
      </c>
      <c r="E179" s="1" t="s">
        <v>95</v>
      </c>
      <c r="F179" s="1" t="s">
        <v>101</v>
      </c>
      <c r="G179" s="1" t="s">
        <v>97</v>
      </c>
      <c r="H179" s="1" t="s">
        <v>58</v>
      </c>
      <c r="I179" s="1" t="s">
        <v>60</v>
      </c>
      <c r="J179" s="1" t="s">
        <v>78</v>
      </c>
      <c r="K179" s="1" t="s">
        <v>30</v>
      </c>
      <c r="L179" s="4">
        <v>0.5</v>
      </c>
      <c r="M179" s="4">
        <v>0.51700000000000002</v>
      </c>
      <c r="N179" s="6">
        <f t="shared" si="2"/>
        <v>1.7000000000000015E-2</v>
      </c>
    </row>
    <row r="180" spans="1:14">
      <c r="A180" s="5">
        <v>46327</v>
      </c>
      <c r="B180" s="1" t="s">
        <v>99</v>
      </c>
      <c r="C180" s="1" t="s">
        <v>0</v>
      </c>
      <c r="D180" s="1" t="s">
        <v>100</v>
      </c>
      <c r="E180" s="1" t="s">
        <v>95</v>
      </c>
      <c r="F180" s="1" t="s">
        <v>101</v>
      </c>
      <c r="G180" s="1" t="s">
        <v>97</v>
      </c>
      <c r="H180" s="1" t="s">
        <v>58</v>
      </c>
      <c r="I180" s="1" t="s">
        <v>60</v>
      </c>
      <c r="J180" s="1" t="s">
        <v>78</v>
      </c>
      <c r="K180" s="1" t="s">
        <v>30</v>
      </c>
      <c r="L180" s="4">
        <v>0.5</v>
      </c>
      <c r="M180" s="4">
        <v>0.51900000000000002</v>
      </c>
      <c r="N180" s="6">
        <f t="shared" si="2"/>
        <v>1.9000000000000017E-2</v>
      </c>
    </row>
    <row r="181" spans="1:14">
      <c r="A181" s="5">
        <v>46357</v>
      </c>
      <c r="B181" s="1" t="s">
        <v>99</v>
      </c>
      <c r="C181" s="1" t="s">
        <v>0</v>
      </c>
      <c r="D181" s="1" t="s">
        <v>100</v>
      </c>
      <c r="E181" s="1" t="s">
        <v>95</v>
      </c>
      <c r="F181" s="1" t="s">
        <v>101</v>
      </c>
      <c r="G181" s="1" t="s">
        <v>97</v>
      </c>
      <c r="H181" s="1" t="s">
        <v>58</v>
      </c>
      <c r="I181" s="1" t="s">
        <v>60</v>
      </c>
      <c r="J181" s="1" t="s">
        <v>78</v>
      </c>
      <c r="K181" s="1" t="s">
        <v>30</v>
      </c>
      <c r="L181" s="4">
        <v>0.5</v>
      </c>
      <c r="M181" s="4">
        <v>0.52200000000000002</v>
      </c>
      <c r="N181" s="6">
        <f t="shared" si="2"/>
        <v>2.200000000000002E-2</v>
      </c>
    </row>
    <row r="182" spans="1:14">
      <c r="A182" s="5">
        <v>46023</v>
      </c>
      <c r="B182" s="1" t="s">
        <v>103</v>
      </c>
      <c r="C182" s="1" t="s">
        <v>0</v>
      </c>
      <c r="D182" s="1" t="s">
        <v>104</v>
      </c>
      <c r="E182" s="1" t="s">
        <v>95</v>
      </c>
      <c r="F182" s="1" t="s">
        <v>105</v>
      </c>
      <c r="G182" s="1" t="s">
        <v>97</v>
      </c>
      <c r="H182" s="1" t="s">
        <v>58</v>
      </c>
      <c r="I182" s="1" t="s">
        <v>60</v>
      </c>
      <c r="J182" s="1" t="s">
        <v>61</v>
      </c>
      <c r="K182" s="1" t="s">
        <v>12</v>
      </c>
      <c r="L182" s="4">
        <v>0.33329999999999999</v>
      </c>
      <c r="M182" s="4">
        <v>0.3543</v>
      </c>
      <c r="N182" s="6">
        <f t="shared" si="2"/>
        <v>2.1000000000000019E-2</v>
      </c>
    </row>
    <row r="183" spans="1:14">
      <c r="A183" s="5">
        <v>46054</v>
      </c>
      <c r="B183" s="1" t="s">
        <v>103</v>
      </c>
      <c r="C183" s="1" t="s">
        <v>0</v>
      </c>
      <c r="D183" s="1" t="s">
        <v>104</v>
      </c>
      <c r="E183" s="1" t="s">
        <v>95</v>
      </c>
      <c r="F183" s="1" t="s">
        <v>105</v>
      </c>
      <c r="G183" s="1" t="s">
        <v>97</v>
      </c>
      <c r="H183" s="1" t="s">
        <v>58</v>
      </c>
      <c r="I183" s="1" t="s">
        <v>60</v>
      </c>
      <c r="J183" s="1" t="s">
        <v>61</v>
      </c>
      <c r="K183" s="1" t="s">
        <v>12</v>
      </c>
      <c r="L183" s="4">
        <v>0.33329999999999999</v>
      </c>
      <c r="M183" s="4">
        <v>0.35580000000000001</v>
      </c>
      <c r="N183" s="6">
        <f t="shared" si="2"/>
        <v>2.250000000000002E-2</v>
      </c>
    </row>
    <row r="184" spans="1:14">
      <c r="A184" s="5">
        <v>46082</v>
      </c>
      <c r="B184" s="1" t="s">
        <v>103</v>
      </c>
      <c r="C184" s="1" t="s">
        <v>0</v>
      </c>
      <c r="D184" s="1" t="s">
        <v>104</v>
      </c>
      <c r="E184" s="1" t="s">
        <v>95</v>
      </c>
      <c r="F184" s="1" t="s">
        <v>105</v>
      </c>
      <c r="G184" s="1" t="s">
        <v>97</v>
      </c>
      <c r="H184" s="1" t="s">
        <v>58</v>
      </c>
      <c r="I184" s="1" t="s">
        <v>60</v>
      </c>
      <c r="J184" s="1" t="s">
        <v>61</v>
      </c>
      <c r="K184" s="1" t="s">
        <v>12</v>
      </c>
      <c r="L184" s="4">
        <v>0.33329999999999999</v>
      </c>
      <c r="M184" s="4">
        <v>0.35730000000000001</v>
      </c>
      <c r="N184" s="6">
        <f t="shared" si="2"/>
        <v>2.4000000000000021E-2</v>
      </c>
    </row>
    <row r="185" spans="1:14">
      <c r="A185" s="5">
        <v>46113</v>
      </c>
      <c r="B185" s="1" t="s">
        <v>103</v>
      </c>
      <c r="C185" s="1" t="s">
        <v>0</v>
      </c>
      <c r="D185" s="1" t="s">
        <v>104</v>
      </c>
      <c r="E185" s="1" t="s">
        <v>95</v>
      </c>
      <c r="F185" s="1" t="s">
        <v>105</v>
      </c>
      <c r="G185" s="1" t="s">
        <v>97</v>
      </c>
      <c r="H185" s="1" t="s">
        <v>58</v>
      </c>
      <c r="I185" s="1" t="s">
        <v>60</v>
      </c>
      <c r="J185" s="1" t="s">
        <v>61</v>
      </c>
      <c r="K185" s="1" t="s">
        <v>12</v>
      </c>
      <c r="L185" s="4">
        <v>0.33329999999999999</v>
      </c>
      <c r="M185" s="4">
        <v>0.35880000000000001</v>
      </c>
      <c r="N185" s="6">
        <f t="shared" si="2"/>
        <v>2.5500000000000023E-2</v>
      </c>
    </row>
    <row r="186" spans="1:14">
      <c r="A186" s="5">
        <v>46143</v>
      </c>
      <c r="B186" s="1" t="s">
        <v>103</v>
      </c>
      <c r="C186" s="1" t="s">
        <v>0</v>
      </c>
      <c r="D186" s="1" t="s">
        <v>104</v>
      </c>
      <c r="E186" s="1" t="s">
        <v>95</v>
      </c>
      <c r="F186" s="1" t="s">
        <v>105</v>
      </c>
      <c r="G186" s="1" t="s">
        <v>97</v>
      </c>
      <c r="H186" s="1" t="s">
        <v>58</v>
      </c>
      <c r="I186" s="1" t="s">
        <v>60</v>
      </c>
      <c r="J186" s="1" t="s">
        <v>61</v>
      </c>
      <c r="K186" s="1" t="s">
        <v>12</v>
      </c>
      <c r="L186" s="4">
        <v>0.33329999999999999</v>
      </c>
      <c r="M186" s="4">
        <v>0.36030000000000001</v>
      </c>
      <c r="N186" s="6">
        <f t="shared" si="2"/>
        <v>2.7000000000000024E-2</v>
      </c>
    </row>
    <row r="187" spans="1:14">
      <c r="A187" s="5">
        <v>46174</v>
      </c>
      <c r="B187" s="1" t="s">
        <v>103</v>
      </c>
      <c r="C187" s="1" t="s">
        <v>0</v>
      </c>
      <c r="D187" s="1" t="s">
        <v>104</v>
      </c>
      <c r="E187" s="1" t="s">
        <v>95</v>
      </c>
      <c r="F187" s="1" t="s">
        <v>105</v>
      </c>
      <c r="G187" s="1" t="s">
        <v>97</v>
      </c>
      <c r="H187" s="1" t="s">
        <v>58</v>
      </c>
      <c r="I187" s="1" t="s">
        <v>60</v>
      </c>
      <c r="J187" s="1" t="s">
        <v>61</v>
      </c>
      <c r="K187" s="1" t="s">
        <v>12</v>
      </c>
      <c r="L187" s="4">
        <v>0.33350000000000002</v>
      </c>
      <c r="M187" s="4">
        <v>0.36349999999999999</v>
      </c>
      <c r="N187" s="6">
        <f t="shared" si="2"/>
        <v>2.9999999999999971E-2</v>
      </c>
    </row>
    <row r="188" spans="1:14">
      <c r="A188" s="5">
        <v>46204</v>
      </c>
      <c r="B188" s="1" t="s">
        <v>103</v>
      </c>
      <c r="C188" s="1" t="s">
        <v>0</v>
      </c>
      <c r="D188" s="1" t="s">
        <v>104</v>
      </c>
      <c r="E188" s="1" t="s">
        <v>95</v>
      </c>
      <c r="F188" s="1" t="s">
        <v>105</v>
      </c>
      <c r="G188" s="1" t="s">
        <v>97</v>
      </c>
      <c r="H188" s="1" t="s">
        <v>58</v>
      </c>
      <c r="I188" s="1" t="s">
        <v>60</v>
      </c>
      <c r="J188" s="1" t="s">
        <v>61</v>
      </c>
      <c r="K188" s="1" t="s">
        <v>27</v>
      </c>
      <c r="L188" s="4">
        <v>0.33329999999999999</v>
      </c>
      <c r="M188" s="4">
        <v>0.3463</v>
      </c>
      <c r="N188" s="6">
        <f t="shared" si="2"/>
        <v>1.3000000000000012E-2</v>
      </c>
    </row>
    <row r="189" spans="1:14">
      <c r="A189" s="5">
        <v>46235</v>
      </c>
      <c r="B189" s="1" t="s">
        <v>103</v>
      </c>
      <c r="C189" s="1" t="s">
        <v>0</v>
      </c>
      <c r="D189" s="1" t="s">
        <v>104</v>
      </c>
      <c r="E189" s="1" t="s">
        <v>95</v>
      </c>
      <c r="F189" s="1" t="s">
        <v>105</v>
      </c>
      <c r="G189" s="1" t="s">
        <v>97</v>
      </c>
      <c r="H189" s="1" t="s">
        <v>58</v>
      </c>
      <c r="I189" s="1" t="s">
        <v>60</v>
      </c>
      <c r="J189" s="1" t="s">
        <v>61</v>
      </c>
      <c r="K189" s="1" t="s">
        <v>30</v>
      </c>
      <c r="L189" s="4">
        <v>0.33329999999999999</v>
      </c>
      <c r="M189" s="4">
        <v>0.3473</v>
      </c>
      <c r="N189" s="6">
        <f t="shared" si="2"/>
        <v>1.4000000000000012E-2</v>
      </c>
    </row>
    <row r="190" spans="1:14">
      <c r="A190" s="5">
        <v>46266</v>
      </c>
      <c r="B190" s="1" t="s">
        <v>103</v>
      </c>
      <c r="C190" s="1" t="s">
        <v>0</v>
      </c>
      <c r="D190" s="1" t="s">
        <v>104</v>
      </c>
      <c r="E190" s="1" t="s">
        <v>95</v>
      </c>
      <c r="F190" s="1" t="s">
        <v>105</v>
      </c>
      <c r="G190" s="1" t="s">
        <v>97</v>
      </c>
      <c r="H190" s="1" t="s">
        <v>58</v>
      </c>
      <c r="I190" s="1" t="s">
        <v>60</v>
      </c>
      <c r="J190" s="1" t="s">
        <v>61</v>
      </c>
      <c r="K190" s="1" t="s">
        <v>30</v>
      </c>
      <c r="L190" s="4">
        <v>0.33329999999999999</v>
      </c>
      <c r="M190" s="4">
        <v>0.3483</v>
      </c>
      <c r="N190" s="6">
        <f t="shared" si="2"/>
        <v>1.5000000000000013E-2</v>
      </c>
    </row>
    <row r="191" spans="1:14">
      <c r="A191" s="5">
        <v>46296</v>
      </c>
      <c r="B191" s="1" t="s">
        <v>103</v>
      </c>
      <c r="C191" s="1" t="s">
        <v>0</v>
      </c>
      <c r="D191" s="1" t="s">
        <v>104</v>
      </c>
      <c r="E191" s="1" t="s">
        <v>95</v>
      </c>
      <c r="F191" s="1" t="s">
        <v>105</v>
      </c>
      <c r="G191" s="1" t="s">
        <v>97</v>
      </c>
      <c r="H191" s="1" t="s">
        <v>58</v>
      </c>
      <c r="I191" s="1" t="s">
        <v>60</v>
      </c>
      <c r="J191" s="1" t="s">
        <v>61</v>
      </c>
      <c r="K191" s="1" t="s">
        <v>30</v>
      </c>
      <c r="L191" s="4">
        <v>0.33329999999999999</v>
      </c>
      <c r="M191" s="4">
        <v>0.3503</v>
      </c>
      <c r="N191" s="6">
        <f t="shared" si="2"/>
        <v>1.7000000000000015E-2</v>
      </c>
    </row>
    <row r="192" spans="1:14">
      <c r="A192" s="5">
        <v>46327</v>
      </c>
      <c r="B192" s="1" t="s">
        <v>103</v>
      </c>
      <c r="C192" s="1" t="s">
        <v>0</v>
      </c>
      <c r="D192" s="1" t="s">
        <v>104</v>
      </c>
      <c r="E192" s="1" t="s">
        <v>95</v>
      </c>
      <c r="F192" s="1" t="s">
        <v>105</v>
      </c>
      <c r="G192" s="1" t="s">
        <v>97</v>
      </c>
      <c r="H192" s="1" t="s">
        <v>58</v>
      </c>
      <c r="I192" s="1" t="s">
        <v>60</v>
      </c>
      <c r="J192" s="1" t="s">
        <v>61</v>
      </c>
      <c r="K192" s="1" t="s">
        <v>30</v>
      </c>
      <c r="L192" s="4">
        <v>0.33329999999999999</v>
      </c>
      <c r="M192" s="4">
        <v>0.3523</v>
      </c>
      <c r="N192" s="6">
        <f t="shared" si="2"/>
        <v>1.9000000000000017E-2</v>
      </c>
    </row>
    <row r="193" spans="1:14">
      <c r="A193" s="5">
        <v>46357</v>
      </c>
      <c r="B193" s="1" t="s">
        <v>103</v>
      </c>
      <c r="C193" s="1" t="s">
        <v>0</v>
      </c>
      <c r="D193" s="1" t="s">
        <v>104</v>
      </c>
      <c r="E193" s="1" t="s">
        <v>95</v>
      </c>
      <c r="F193" s="1" t="s">
        <v>105</v>
      </c>
      <c r="G193" s="1" t="s">
        <v>97</v>
      </c>
      <c r="H193" s="1" t="s">
        <v>58</v>
      </c>
      <c r="I193" s="1" t="s">
        <v>60</v>
      </c>
      <c r="J193" s="1" t="s">
        <v>61</v>
      </c>
      <c r="K193" s="1" t="s">
        <v>30</v>
      </c>
      <c r="L193" s="4">
        <v>0.33350000000000002</v>
      </c>
      <c r="M193" s="4">
        <v>0.35549999999999998</v>
      </c>
      <c r="N193" s="6">
        <f t="shared" si="2"/>
        <v>2.1999999999999964E-2</v>
      </c>
    </row>
    <row r="194" spans="1:14">
      <c r="A194" s="5">
        <v>46023</v>
      </c>
      <c r="B194" s="1" t="s">
        <v>107</v>
      </c>
      <c r="C194" s="1" t="s">
        <v>1</v>
      </c>
      <c r="D194" s="1" t="s">
        <v>86</v>
      </c>
      <c r="E194" s="1" t="s">
        <v>95</v>
      </c>
      <c r="F194" s="1" t="s">
        <v>108</v>
      </c>
      <c r="G194" s="1" t="s">
        <v>97</v>
      </c>
      <c r="H194" s="1" t="s">
        <v>58</v>
      </c>
      <c r="I194" s="1" t="s">
        <v>60</v>
      </c>
      <c r="J194" s="1" t="s">
        <v>78</v>
      </c>
      <c r="K194" s="1" t="s">
        <v>12</v>
      </c>
      <c r="L194" s="4">
        <v>0.33329999999999999</v>
      </c>
      <c r="M194" s="4">
        <v>0.3543</v>
      </c>
      <c r="N194" s="6">
        <f t="shared" ref="N194:N257" si="3">M194-L194</f>
        <v>2.1000000000000019E-2</v>
      </c>
    </row>
    <row r="195" spans="1:14">
      <c r="A195" s="5">
        <v>46054</v>
      </c>
      <c r="B195" s="1" t="s">
        <v>107</v>
      </c>
      <c r="C195" s="1" t="s">
        <v>1</v>
      </c>
      <c r="D195" s="1" t="s">
        <v>86</v>
      </c>
      <c r="E195" s="1" t="s">
        <v>95</v>
      </c>
      <c r="F195" s="1" t="s">
        <v>108</v>
      </c>
      <c r="G195" s="1" t="s">
        <v>97</v>
      </c>
      <c r="H195" s="1" t="s">
        <v>58</v>
      </c>
      <c r="I195" s="1" t="s">
        <v>60</v>
      </c>
      <c r="J195" s="1" t="s">
        <v>78</v>
      </c>
      <c r="K195" s="1" t="s">
        <v>12</v>
      </c>
      <c r="L195" s="4">
        <v>0.33329999999999999</v>
      </c>
      <c r="M195" s="4">
        <v>0.35580000000000001</v>
      </c>
      <c r="N195" s="6">
        <f t="shared" si="3"/>
        <v>2.250000000000002E-2</v>
      </c>
    </row>
    <row r="196" spans="1:14">
      <c r="A196" s="5">
        <v>46082</v>
      </c>
      <c r="B196" s="1" t="s">
        <v>107</v>
      </c>
      <c r="C196" s="1" t="s">
        <v>1</v>
      </c>
      <c r="D196" s="1" t="s">
        <v>86</v>
      </c>
      <c r="E196" s="1" t="s">
        <v>95</v>
      </c>
      <c r="F196" s="1" t="s">
        <v>108</v>
      </c>
      <c r="G196" s="1" t="s">
        <v>97</v>
      </c>
      <c r="H196" s="1" t="s">
        <v>58</v>
      </c>
      <c r="I196" s="1" t="s">
        <v>60</v>
      </c>
      <c r="J196" s="1" t="s">
        <v>78</v>
      </c>
      <c r="K196" s="1" t="s">
        <v>12</v>
      </c>
      <c r="L196" s="4">
        <v>0.33329999999999999</v>
      </c>
      <c r="M196" s="4">
        <v>0.35730000000000001</v>
      </c>
      <c r="N196" s="6">
        <f t="shared" si="3"/>
        <v>2.4000000000000021E-2</v>
      </c>
    </row>
    <row r="197" spans="1:14">
      <c r="A197" s="5">
        <v>46113</v>
      </c>
      <c r="B197" s="1" t="s">
        <v>107</v>
      </c>
      <c r="C197" s="1" t="s">
        <v>1</v>
      </c>
      <c r="D197" s="1" t="s">
        <v>86</v>
      </c>
      <c r="E197" s="1" t="s">
        <v>95</v>
      </c>
      <c r="F197" s="1" t="s">
        <v>108</v>
      </c>
      <c r="G197" s="1" t="s">
        <v>97</v>
      </c>
      <c r="H197" s="1" t="s">
        <v>58</v>
      </c>
      <c r="I197" s="1" t="s">
        <v>60</v>
      </c>
      <c r="J197" s="1" t="s">
        <v>78</v>
      </c>
      <c r="K197" s="1" t="s">
        <v>12</v>
      </c>
      <c r="L197" s="4">
        <v>0.33329999999999999</v>
      </c>
      <c r="M197" s="4">
        <v>0.35880000000000001</v>
      </c>
      <c r="N197" s="6">
        <f t="shared" si="3"/>
        <v>2.5500000000000023E-2</v>
      </c>
    </row>
    <row r="198" spans="1:14">
      <c r="A198" s="5">
        <v>46143</v>
      </c>
      <c r="B198" s="1" t="s">
        <v>107</v>
      </c>
      <c r="C198" s="1" t="s">
        <v>1</v>
      </c>
      <c r="D198" s="1" t="s">
        <v>86</v>
      </c>
      <c r="E198" s="1" t="s">
        <v>95</v>
      </c>
      <c r="F198" s="1" t="s">
        <v>108</v>
      </c>
      <c r="G198" s="1" t="s">
        <v>97</v>
      </c>
      <c r="H198" s="1" t="s">
        <v>58</v>
      </c>
      <c r="I198" s="1" t="s">
        <v>60</v>
      </c>
      <c r="J198" s="1" t="s">
        <v>78</v>
      </c>
      <c r="K198" s="1" t="s">
        <v>12</v>
      </c>
      <c r="L198" s="4">
        <v>0.33329999999999999</v>
      </c>
      <c r="M198" s="4">
        <v>0.36030000000000001</v>
      </c>
      <c r="N198" s="6">
        <f t="shared" si="3"/>
        <v>2.7000000000000024E-2</v>
      </c>
    </row>
    <row r="199" spans="1:14">
      <c r="A199" s="5">
        <v>46174</v>
      </c>
      <c r="B199" s="1" t="s">
        <v>107</v>
      </c>
      <c r="C199" s="1" t="s">
        <v>1</v>
      </c>
      <c r="D199" s="1" t="s">
        <v>86</v>
      </c>
      <c r="E199" s="1" t="s">
        <v>95</v>
      </c>
      <c r="F199" s="1" t="s">
        <v>108</v>
      </c>
      <c r="G199" s="1" t="s">
        <v>97</v>
      </c>
      <c r="H199" s="1" t="s">
        <v>58</v>
      </c>
      <c r="I199" s="1" t="s">
        <v>60</v>
      </c>
      <c r="J199" s="1" t="s">
        <v>78</v>
      </c>
      <c r="K199" s="1" t="s">
        <v>12</v>
      </c>
      <c r="L199" s="4">
        <v>0.33350000000000002</v>
      </c>
      <c r="M199" s="4">
        <v>0.36349999999999999</v>
      </c>
      <c r="N199" s="6">
        <f t="shared" si="3"/>
        <v>2.9999999999999971E-2</v>
      </c>
    </row>
    <row r="200" spans="1:14">
      <c r="A200" s="5">
        <v>46204</v>
      </c>
      <c r="B200" s="1" t="s">
        <v>107</v>
      </c>
      <c r="C200" s="1" t="s">
        <v>1</v>
      </c>
      <c r="D200" s="1" t="s">
        <v>86</v>
      </c>
      <c r="E200" s="1" t="s">
        <v>95</v>
      </c>
      <c r="F200" s="1" t="s">
        <v>108</v>
      </c>
      <c r="G200" s="1" t="s">
        <v>97</v>
      </c>
      <c r="H200" s="1" t="s">
        <v>58</v>
      </c>
      <c r="I200" s="1" t="s">
        <v>60</v>
      </c>
      <c r="J200" s="1" t="s">
        <v>78</v>
      </c>
      <c r="K200" s="1" t="s">
        <v>27</v>
      </c>
      <c r="L200" s="4">
        <v>0.33329999999999999</v>
      </c>
      <c r="M200" s="4">
        <v>0.35930000000000001</v>
      </c>
      <c r="N200" s="6">
        <f t="shared" si="3"/>
        <v>2.6000000000000023E-2</v>
      </c>
    </row>
    <row r="201" spans="1:14">
      <c r="A201" s="5">
        <v>46235</v>
      </c>
      <c r="B201" s="1" t="s">
        <v>107</v>
      </c>
      <c r="C201" s="1" t="s">
        <v>1</v>
      </c>
      <c r="D201" s="1" t="s">
        <v>86</v>
      </c>
      <c r="E201" s="1" t="s">
        <v>95</v>
      </c>
      <c r="F201" s="1" t="s">
        <v>108</v>
      </c>
      <c r="G201" s="1" t="s">
        <v>97</v>
      </c>
      <c r="H201" s="1" t="s">
        <v>58</v>
      </c>
      <c r="I201" s="1" t="s">
        <v>60</v>
      </c>
      <c r="J201" s="1" t="s">
        <v>78</v>
      </c>
      <c r="K201" s="1" t="s">
        <v>30</v>
      </c>
      <c r="L201" s="4">
        <v>0.33329999999999999</v>
      </c>
      <c r="M201" s="4">
        <v>0.36130000000000001</v>
      </c>
      <c r="N201" s="6">
        <f t="shared" si="3"/>
        <v>2.8000000000000025E-2</v>
      </c>
    </row>
    <row r="202" spans="1:14">
      <c r="A202" s="5">
        <v>46266</v>
      </c>
      <c r="B202" s="1" t="s">
        <v>107</v>
      </c>
      <c r="C202" s="1" t="s">
        <v>1</v>
      </c>
      <c r="D202" s="1" t="s">
        <v>86</v>
      </c>
      <c r="E202" s="1" t="s">
        <v>95</v>
      </c>
      <c r="F202" s="1" t="s">
        <v>108</v>
      </c>
      <c r="G202" s="1" t="s">
        <v>97</v>
      </c>
      <c r="H202" s="1" t="s">
        <v>58</v>
      </c>
      <c r="I202" s="1" t="s">
        <v>60</v>
      </c>
      <c r="J202" s="1" t="s">
        <v>78</v>
      </c>
      <c r="K202" s="1" t="s">
        <v>30</v>
      </c>
      <c r="L202" s="4">
        <v>0.33329999999999999</v>
      </c>
      <c r="M202" s="4">
        <v>0.36330000000000001</v>
      </c>
      <c r="N202" s="6">
        <f t="shared" si="3"/>
        <v>3.0000000000000027E-2</v>
      </c>
    </row>
    <row r="203" spans="1:14">
      <c r="A203" s="5">
        <v>46296</v>
      </c>
      <c r="B203" s="1" t="s">
        <v>107</v>
      </c>
      <c r="C203" s="1" t="s">
        <v>1</v>
      </c>
      <c r="D203" s="1" t="s">
        <v>86</v>
      </c>
      <c r="E203" s="1" t="s">
        <v>95</v>
      </c>
      <c r="F203" s="1" t="s">
        <v>108</v>
      </c>
      <c r="G203" s="1" t="s">
        <v>97</v>
      </c>
      <c r="H203" s="1" t="s">
        <v>58</v>
      </c>
      <c r="I203" s="1" t="s">
        <v>60</v>
      </c>
      <c r="J203" s="1" t="s">
        <v>78</v>
      </c>
      <c r="K203" s="1" t="s">
        <v>30</v>
      </c>
      <c r="L203" s="4">
        <v>0.33329999999999999</v>
      </c>
      <c r="M203" s="4">
        <v>0.36730000000000002</v>
      </c>
      <c r="N203" s="6">
        <f t="shared" si="3"/>
        <v>3.400000000000003E-2</v>
      </c>
    </row>
    <row r="204" spans="1:14">
      <c r="A204" s="5">
        <v>46327</v>
      </c>
      <c r="B204" s="1" t="s">
        <v>107</v>
      </c>
      <c r="C204" s="1" t="s">
        <v>1</v>
      </c>
      <c r="D204" s="1" t="s">
        <v>86</v>
      </c>
      <c r="E204" s="1" t="s">
        <v>95</v>
      </c>
      <c r="F204" s="1" t="s">
        <v>108</v>
      </c>
      <c r="G204" s="1" t="s">
        <v>97</v>
      </c>
      <c r="H204" s="1" t="s">
        <v>58</v>
      </c>
      <c r="I204" s="1" t="s">
        <v>60</v>
      </c>
      <c r="J204" s="1" t="s">
        <v>78</v>
      </c>
      <c r="K204" s="1" t="s">
        <v>30</v>
      </c>
      <c r="L204" s="4">
        <v>0.33329999999999999</v>
      </c>
      <c r="M204" s="4">
        <v>0.37130000000000002</v>
      </c>
      <c r="N204" s="6">
        <f t="shared" si="3"/>
        <v>3.8000000000000034E-2</v>
      </c>
    </row>
    <row r="205" spans="1:14">
      <c r="A205" s="5">
        <v>46357</v>
      </c>
      <c r="B205" s="1" t="s">
        <v>107</v>
      </c>
      <c r="C205" s="1" t="s">
        <v>1</v>
      </c>
      <c r="D205" s="1" t="s">
        <v>86</v>
      </c>
      <c r="E205" s="1" t="s">
        <v>95</v>
      </c>
      <c r="F205" s="1" t="s">
        <v>108</v>
      </c>
      <c r="G205" s="1" t="s">
        <v>97</v>
      </c>
      <c r="H205" s="1" t="s">
        <v>58</v>
      </c>
      <c r="I205" s="1" t="s">
        <v>60</v>
      </c>
      <c r="J205" s="1" t="s">
        <v>78</v>
      </c>
      <c r="K205" s="1" t="s">
        <v>30</v>
      </c>
      <c r="L205" s="4">
        <v>0.33350000000000002</v>
      </c>
      <c r="M205" s="4">
        <v>0.3775</v>
      </c>
      <c r="N205" s="6">
        <f t="shared" si="3"/>
        <v>4.3999999999999984E-2</v>
      </c>
    </row>
    <row r="206" spans="1:14" ht="27.6">
      <c r="A206" s="5">
        <v>46023</v>
      </c>
      <c r="B206" s="1" t="s">
        <v>109</v>
      </c>
      <c r="C206" s="1" t="s">
        <v>64</v>
      </c>
      <c r="D206" s="1" t="s">
        <v>110</v>
      </c>
      <c r="E206" s="1" t="s">
        <v>95</v>
      </c>
      <c r="F206" s="1" t="s">
        <v>111</v>
      </c>
      <c r="G206" s="1" t="s">
        <v>97</v>
      </c>
      <c r="H206" s="1" t="s">
        <v>58</v>
      </c>
      <c r="I206" s="1" t="s">
        <v>70</v>
      </c>
      <c r="J206" s="1" t="s">
        <v>61</v>
      </c>
      <c r="K206" s="1" t="s">
        <v>12</v>
      </c>
      <c r="L206" s="4">
        <v>0.25</v>
      </c>
      <c r="M206" s="4">
        <v>0.27100000000000002</v>
      </c>
      <c r="N206" s="6">
        <f t="shared" si="3"/>
        <v>2.1000000000000019E-2</v>
      </c>
    </row>
    <row r="207" spans="1:14" ht="27.6">
      <c r="A207" s="5">
        <v>46054</v>
      </c>
      <c r="B207" s="1" t="s">
        <v>109</v>
      </c>
      <c r="C207" s="1" t="s">
        <v>64</v>
      </c>
      <c r="D207" s="1" t="s">
        <v>110</v>
      </c>
      <c r="E207" s="1" t="s">
        <v>95</v>
      </c>
      <c r="F207" s="1" t="s">
        <v>111</v>
      </c>
      <c r="G207" s="1" t="s">
        <v>97</v>
      </c>
      <c r="H207" s="1" t="s">
        <v>58</v>
      </c>
      <c r="I207" s="1" t="s">
        <v>70</v>
      </c>
      <c r="J207" s="1" t="s">
        <v>61</v>
      </c>
      <c r="K207" s="1" t="s">
        <v>12</v>
      </c>
      <c r="L207" s="4">
        <v>0.25</v>
      </c>
      <c r="M207" s="4">
        <v>0.27250000000000002</v>
      </c>
      <c r="N207" s="6">
        <f t="shared" si="3"/>
        <v>2.250000000000002E-2</v>
      </c>
    </row>
    <row r="208" spans="1:14" ht="27.6">
      <c r="A208" s="5">
        <v>46082</v>
      </c>
      <c r="B208" s="1" t="s">
        <v>109</v>
      </c>
      <c r="C208" s="1" t="s">
        <v>64</v>
      </c>
      <c r="D208" s="1" t="s">
        <v>110</v>
      </c>
      <c r="E208" s="1" t="s">
        <v>95</v>
      </c>
      <c r="F208" s="1" t="s">
        <v>111</v>
      </c>
      <c r="G208" s="1" t="s">
        <v>97</v>
      </c>
      <c r="H208" s="1" t="s">
        <v>58</v>
      </c>
      <c r="I208" s="1" t="s">
        <v>70</v>
      </c>
      <c r="J208" s="1" t="s">
        <v>61</v>
      </c>
      <c r="K208" s="1" t="s">
        <v>12</v>
      </c>
      <c r="L208" s="4">
        <v>0.25</v>
      </c>
      <c r="M208" s="4">
        <v>0.27400000000000002</v>
      </c>
      <c r="N208" s="6">
        <f t="shared" si="3"/>
        <v>2.4000000000000021E-2</v>
      </c>
    </row>
    <row r="209" spans="1:14" ht="27.6">
      <c r="A209" s="5">
        <v>46113</v>
      </c>
      <c r="B209" s="1" t="s">
        <v>109</v>
      </c>
      <c r="C209" s="1" t="s">
        <v>64</v>
      </c>
      <c r="D209" s="1" t="s">
        <v>110</v>
      </c>
      <c r="E209" s="1" t="s">
        <v>95</v>
      </c>
      <c r="F209" s="1" t="s">
        <v>111</v>
      </c>
      <c r="G209" s="1" t="s">
        <v>97</v>
      </c>
      <c r="H209" s="1" t="s">
        <v>58</v>
      </c>
      <c r="I209" s="1" t="s">
        <v>70</v>
      </c>
      <c r="J209" s="1" t="s">
        <v>61</v>
      </c>
      <c r="K209" s="1" t="s">
        <v>12</v>
      </c>
      <c r="L209" s="4">
        <v>0.25</v>
      </c>
      <c r="M209" s="4">
        <v>0.27550000000000002</v>
      </c>
      <c r="N209" s="6">
        <f t="shared" si="3"/>
        <v>2.5500000000000023E-2</v>
      </c>
    </row>
    <row r="210" spans="1:14" ht="27.6">
      <c r="A210" s="5">
        <v>46143</v>
      </c>
      <c r="B210" s="1" t="s">
        <v>109</v>
      </c>
      <c r="C210" s="1" t="s">
        <v>64</v>
      </c>
      <c r="D210" s="1" t="s">
        <v>110</v>
      </c>
      <c r="E210" s="1" t="s">
        <v>95</v>
      </c>
      <c r="F210" s="1" t="s">
        <v>111</v>
      </c>
      <c r="G210" s="1" t="s">
        <v>97</v>
      </c>
      <c r="H210" s="1" t="s">
        <v>58</v>
      </c>
      <c r="I210" s="1" t="s">
        <v>70</v>
      </c>
      <c r="J210" s="1" t="s">
        <v>61</v>
      </c>
      <c r="K210" s="1" t="s">
        <v>12</v>
      </c>
      <c r="L210" s="4">
        <v>0.25</v>
      </c>
      <c r="M210" s="4">
        <v>0.27700000000000002</v>
      </c>
      <c r="N210" s="6">
        <f t="shared" si="3"/>
        <v>2.7000000000000024E-2</v>
      </c>
    </row>
    <row r="211" spans="1:14" ht="27.6">
      <c r="A211" s="5">
        <v>46174</v>
      </c>
      <c r="B211" s="1" t="s">
        <v>109</v>
      </c>
      <c r="C211" s="1" t="s">
        <v>64</v>
      </c>
      <c r="D211" s="1" t="s">
        <v>110</v>
      </c>
      <c r="E211" s="1" t="s">
        <v>95</v>
      </c>
      <c r="F211" s="1" t="s">
        <v>111</v>
      </c>
      <c r="G211" s="1" t="s">
        <v>97</v>
      </c>
      <c r="H211" s="1" t="s">
        <v>58</v>
      </c>
      <c r="I211" s="1" t="s">
        <v>70</v>
      </c>
      <c r="J211" s="1" t="s">
        <v>61</v>
      </c>
      <c r="K211" s="1" t="s">
        <v>12</v>
      </c>
      <c r="L211" s="4">
        <v>0.25</v>
      </c>
      <c r="M211" s="4">
        <v>0.28000000000000003</v>
      </c>
      <c r="N211" s="6">
        <f t="shared" si="3"/>
        <v>3.0000000000000027E-2</v>
      </c>
    </row>
    <row r="212" spans="1:14" ht="27.6">
      <c r="A212" s="5">
        <v>46204</v>
      </c>
      <c r="B212" s="1" t="s">
        <v>109</v>
      </c>
      <c r="C212" s="1" t="s">
        <v>64</v>
      </c>
      <c r="D212" s="1" t="s">
        <v>110</v>
      </c>
      <c r="E212" s="1" t="s">
        <v>95</v>
      </c>
      <c r="F212" s="1" t="s">
        <v>111</v>
      </c>
      <c r="G212" s="1" t="s">
        <v>97</v>
      </c>
      <c r="H212" s="1" t="s">
        <v>58</v>
      </c>
      <c r="I212" s="1" t="s">
        <v>70</v>
      </c>
      <c r="J212" s="1" t="s">
        <v>61</v>
      </c>
      <c r="K212" s="1" t="s">
        <v>27</v>
      </c>
      <c r="L212" s="4">
        <v>0.25</v>
      </c>
      <c r="M212" s="4">
        <v>0.27600000000000002</v>
      </c>
      <c r="N212" s="6">
        <f t="shared" si="3"/>
        <v>2.6000000000000023E-2</v>
      </c>
    </row>
    <row r="213" spans="1:14" ht="27.6">
      <c r="A213" s="5">
        <v>46235</v>
      </c>
      <c r="B213" s="1" t="s">
        <v>109</v>
      </c>
      <c r="C213" s="1" t="s">
        <v>64</v>
      </c>
      <c r="D213" s="1" t="s">
        <v>110</v>
      </c>
      <c r="E213" s="1" t="s">
        <v>95</v>
      </c>
      <c r="F213" s="1" t="s">
        <v>111</v>
      </c>
      <c r="G213" s="1" t="s">
        <v>97</v>
      </c>
      <c r="H213" s="1" t="s">
        <v>58</v>
      </c>
      <c r="I213" s="1" t="s">
        <v>70</v>
      </c>
      <c r="J213" s="1" t="s">
        <v>61</v>
      </c>
      <c r="K213" s="1" t="s">
        <v>30</v>
      </c>
      <c r="L213" s="4">
        <v>0.25</v>
      </c>
      <c r="M213" s="4">
        <v>0.27800000000000002</v>
      </c>
      <c r="N213" s="6">
        <f t="shared" si="3"/>
        <v>2.8000000000000025E-2</v>
      </c>
    </row>
    <row r="214" spans="1:14" ht="27.6">
      <c r="A214" s="5">
        <v>46266</v>
      </c>
      <c r="B214" s="1" t="s">
        <v>109</v>
      </c>
      <c r="C214" s="1" t="s">
        <v>64</v>
      </c>
      <c r="D214" s="1" t="s">
        <v>110</v>
      </c>
      <c r="E214" s="1" t="s">
        <v>95</v>
      </c>
      <c r="F214" s="1" t="s">
        <v>111</v>
      </c>
      <c r="G214" s="1" t="s">
        <v>97</v>
      </c>
      <c r="H214" s="1" t="s">
        <v>58</v>
      </c>
      <c r="I214" s="1" t="s">
        <v>70</v>
      </c>
      <c r="J214" s="1" t="s">
        <v>61</v>
      </c>
      <c r="K214" s="1" t="s">
        <v>30</v>
      </c>
      <c r="L214" s="4">
        <v>0.25</v>
      </c>
      <c r="M214" s="4">
        <v>0.28000000000000003</v>
      </c>
      <c r="N214" s="6">
        <f t="shared" si="3"/>
        <v>3.0000000000000027E-2</v>
      </c>
    </row>
    <row r="215" spans="1:14" ht="27.6">
      <c r="A215" s="5">
        <v>46296</v>
      </c>
      <c r="B215" s="1" t="s">
        <v>109</v>
      </c>
      <c r="C215" s="1" t="s">
        <v>64</v>
      </c>
      <c r="D215" s="1" t="s">
        <v>110</v>
      </c>
      <c r="E215" s="1" t="s">
        <v>95</v>
      </c>
      <c r="F215" s="1" t="s">
        <v>111</v>
      </c>
      <c r="G215" s="1" t="s">
        <v>97</v>
      </c>
      <c r="H215" s="1" t="s">
        <v>58</v>
      </c>
      <c r="I215" s="1" t="s">
        <v>70</v>
      </c>
      <c r="J215" s="1" t="s">
        <v>61</v>
      </c>
      <c r="K215" s="1" t="s">
        <v>30</v>
      </c>
      <c r="L215" s="4">
        <v>0.25</v>
      </c>
      <c r="M215" s="4">
        <v>0.28399999999999997</v>
      </c>
      <c r="N215" s="6">
        <f t="shared" si="3"/>
        <v>3.3999999999999975E-2</v>
      </c>
    </row>
    <row r="216" spans="1:14" ht="27.6">
      <c r="A216" s="5">
        <v>46327</v>
      </c>
      <c r="B216" s="1" t="s">
        <v>109</v>
      </c>
      <c r="C216" s="1" t="s">
        <v>64</v>
      </c>
      <c r="D216" s="1" t="s">
        <v>110</v>
      </c>
      <c r="E216" s="1" t="s">
        <v>95</v>
      </c>
      <c r="F216" s="1" t="s">
        <v>111</v>
      </c>
      <c r="G216" s="1" t="s">
        <v>97</v>
      </c>
      <c r="H216" s="1" t="s">
        <v>58</v>
      </c>
      <c r="I216" s="1" t="s">
        <v>70</v>
      </c>
      <c r="J216" s="1" t="s">
        <v>61</v>
      </c>
      <c r="K216" s="1" t="s">
        <v>30</v>
      </c>
      <c r="L216" s="4">
        <v>0.25</v>
      </c>
      <c r="M216" s="4">
        <v>0.28799999999999998</v>
      </c>
      <c r="N216" s="6">
        <f t="shared" si="3"/>
        <v>3.7999999999999978E-2</v>
      </c>
    </row>
    <row r="217" spans="1:14" ht="27.6">
      <c r="A217" s="5">
        <v>46357</v>
      </c>
      <c r="B217" s="1" t="s">
        <v>109</v>
      </c>
      <c r="C217" s="1" t="s">
        <v>64</v>
      </c>
      <c r="D217" s="1" t="s">
        <v>110</v>
      </c>
      <c r="E217" s="1" t="s">
        <v>95</v>
      </c>
      <c r="F217" s="1" t="s">
        <v>111</v>
      </c>
      <c r="G217" s="1" t="s">
        <v>97</v>
      </c>
      <c r="H217" s="1" t="s">
        <v>58</v>
      </c>
      <c r="I217" s="1" t="s">
        <v>70</v>
      </c>
      <c r="J217" s="1" t="s">
        <v>61</v>
      </c>
      <c r="K217" s="1" t="s">
        <v>30</v>
      </c>
      <c r="L217" s="4">
        <v>0.25</v>
      </c>
      <c r="M217" s="4">
        <v>0.29399999999999998</v>
      </c>
      <c r="N217" s="6">
        <f t="shared" si="3"/>
        <v>4.3999999999999984E-2</v>
      </c>
    </row>
    <row r="218" spans="1:14">
      <c r="A218" s="5">
        <v>46023</v>
      </c>
      <c r="B218" s="1" t="s">
        <v>113</v>
      </c>
      <c r="C218" s="1" t="s">
        <v>0</v>
      </c>
      <c r="D218" s="1" t="s">
        <v>114</v>
      </c>
      <c r="E218" s="1" t="s">
        <v>115</v>
      </c>
      <c r="F218" s="1" t="s">
        <v>116</v>
      </c>
      <c r="G218" s="1" t="s">
        <v>117</v>
      </c>
      <c r="H218" s="1" t="s">
        <v>58</v>
      </c>
      <c r="I218" s="1" t="s">
        <v>77</v>
      </c>
      <c r="J218" s="1" t="s">
        <v>61</v>
      </c>
      <c r="K218" s="1" t="s">
        <v>12</v>
      </c>
      <c r="L218" s="4">
        <v>0.66669999999999996</v>
      </c>
      <c r="M218" s="4">
        <v>0.65549999999999997</v>
      </c>
      <c r="N218" s="6">
        <f t="shared" si="3"/>
        <v>-1.1199999999999988E-2</v>
      </c>
    </row>
    <row r="219" spans="1:14">
      <c r="A219" s="5">
        <v>46054</v>
      </c>
      <c r="B219" s="1" t="s">
        <v>113</v>
      </c>
      <c r="C219" s="1" t="s">
        <v>0</v>
      </c>
      <c r="D219" s="1" t="s">
        <v>114</v>
      </c>
      <c r="E219" s="1" t="s">
        <v>115</v>
      </c>
      <c r="F219" s="1" t="s">
        <v>116</v>
      </c>
      <c r="G219" s="1" t="s">
        <v>117</v>
      </c>
      <c r="H219" s="1" t="s">
        <v>58</v>
      </c>
      <c r="I219" s="1" t="s">
        <v>77</v>
      </c>
      <c r="J219" s="1" t="s">
        <v>61</v>
      </c>
      <c r="K219" s="1" t="s">
        <v>12</v>
      </c>
      <c r="L219" s="4">
        <v>0.66669999999999996</v>
      </c>
      <c r="M219" s="4">
        <v>0.65469999999999995</v>
      </c>
      <c r="N219" s="6">
        <f t="shared" si="3"/>
        <v>-1.2000000000000011E-2</v>
      </c>
    </row>
    <row r="220" spans="1:14">
      <c r="A220" s="5">
        <v>46082</v>
      </c>
      <c r="B220" s="1" t="s">
        <v>113</v>
      </c>
      <c r="C220" s="1" t="s">
        <v>0</v>
      </c>
      <c r="D220" s="1" t="s">
        <v>114</v>
      </c>
      <c r="E220" s="1" t="s">
        <v>115</v>
      </c>
      <c r="F220" s="1" t="s">
        <v>116</v>
      </c>
      <c r="G220" s="1" t="s">
        <v>117</v>
      </c>
      <c r="H220" s="1" t="s">
        <v>58</v>
      </c>
      <c r="I220" s="1" t="s">
        <v>77</v>
      </c>
      <c r="J220" s="1" t="s">
        <v>61</v>
      </c>
      <c r="K220" s="1" t="s">
        <v>12</v>
      </c>
      <c r="L220" s="4">
        <v>0.66669999999999996</v>
      </c>
      <c r="M220" s="4">
        <v>0.65390000000000004</v>
      </c>
      <c r="N220" s="6">
        <f t="shared" si="3"/>
        <v>-1.2799999999999923E-2</v>
      </c>
    </row>
    <row r="221" spans="1:14">
      <c r="A221" s="5">
        <v>46113</v>
      </c>
      <c r="B221" s="1" t="s">
        <v>113</v>
      </c>
      <c r="C221" s="1" t="s">
        <v>0</v>
      </c>
      <c r="D221" s="1" t="s">
        <v>114</v>
      </c>
      <c r="E221" s="1" t="s">
        <v>115</v>
      </c>
      <c r="F221" s="1" t="s">
        <v>116</v>
      </c>
      <c r="G221" s="1" t="s">
        <v>117</v>
      </c>
      <c r="H221" s="1" t="s">
        <v>58</v>
      </c>
      <c r="I221" s="1" t="s">
        <v>77</v>
      </c>
      <c r="J221" s="1" t="s">
        <v>61</v>
      </c>
      <c r="K221" s="1" t="s">
        <v>12</v>
      </c>
      <c r="L221" s="4">
        <v>0.66669999999999996</v>
      </c>
      <c r="M221" s="4">
        <v>0.65310000000000001</v>
      </c>
      <c r="N221" s="6">
        <f t="shared" si="3"/>
        <v>-1.3599999999999945E-2</v>
      </c>
    </row>
    <row r="222" spans="1:14">
      <c r="A222" s="5">
        <v>46143</v>
      </c>
      <c r="B222" s="1" t="s">
        <v>113</v>
      </c>
      <c r="C222" s="1" t="s">
        <v>0</v>
      </c>
      <c r="D222" s="1" t="s">
        <v>114</v>
      </c>
      <c r="E222" s="1" t="s">
        <v>115</v>
      </c>
      <c r="F222" s="1" t="s">
        <v>116</v>
      </c>
      <c r="G222" s="1" t="s">
        <v>117</v>
      </c>
      <c r="H222" s="1" t="s">
        <v>58</v>
      </c>
      <c r="I222" s="1" t="s">
        <v>77</v>
      </c>
      <c r="J222" s="1" t="s">
        <v>61</v>
      </c>
      <c r="K222" s="1" t="s">
        <v>12</v>
      </c>
      <c r="L222" s="4">
        <v>0.66669999999999996</v>
      </c>
      <c r="M222" s="4">
        <v>0.65229999999999999</v>
      </c>
      <c r="N222" s="6">
        <f t="shared" si="3"/>
        <v>-1.4399999999999968E-2</v>
      </c>
    </row>
    <row r="223" spans="1:14">
      <c r="A223" s="5">
        <v>46174</v>
      </c>
      <c r="B223" s="1" t="s">
        <v>113</v>
      </c>
      <c r="C223" s="1" t="s">
        <v>0</v>
      </c>
      <c r="D223" s="1" t="s">
        <v>114</v>
      </c>
      <c r="E223" s="1" t="s">
        <v>115</v>
      </c>
      <c r="F223" s="1" t="s">
        <v>116</v>
      </c>
      <c r="G223" s="1" t="s">
        <v>117</v>
      </c>
      <c r="H223" s="1" t="s">
        <v>58</v>
      </c>
      <c r="I223" s="1" t="s">
        <v>77</v>
      </c>
      <c r="J223" s="1" t="s">
        <v>61</v>
      </c>
      <c r="K223" s="1" t="s">
        <v>12</v>
      </c>
      <c r="L223" s="4">
        <v>0.66649999999999998</v>
      </c>
      <c r="M223" s="4">
        <v>0.65049999999999997</v>
      </c>
      <c r="N223" s="6">
        <f t="shared" si="3"/>
        <v>-1.6000000000000014E-2</v>
      </c>
    </row>
    <row r="224" spans="1:14">
      <c r="A224" s="5">
        <v>46204</v>
      </c>
      <c r="B224" s="1" t="s">
        <v>113</v>
      </c>
      <c r="C224" s="1" t="s">
        <v>0</v>
      </c>
      <c r="D224" s="1" t="s">
        <v>114</v>
      </c>
      <c r="E224" s="1" t="s">
        <v>115</v>
      </c>
      <c r="F224" s="1" t="s">
        <v>116</v>
      </c>
      <c r="G224" s="1" t="s">
        <v>117</v>
      </c>
      <c r="H224" s="1" t="s">
        <v>58</v>
      </c>
      <c r="I224" s="1" t="s">
        <v>77</v>
      </c>
      <c r="J224" s="1" t="s">
        <v>61</v>
      </c>
      <c r="K224" s="1" t="s">
        <v>27</v>
      </c>
      <c r="L224" s="4">
        <v>0.66669999999999996</v>
      </c>
      <c r="M224" s="4">
        <v>0.67710000000000004</v>
      </c>
      <c r="N224" s="6">
        <f t="shared" si="3"/>
        <v>1.0400000000000076E-2</v>
      </c>
    </row>
    <row r="225" spans="1:14">
      <c r="A225" s="5">
        <v>46235</v>
      </c>
      <c r="B225" s="1" t="s">
        <v>113</v>
      </c>
      <c r="C225" s="1" t="s">
        <v>0</v>
      </c>
      <c r="D225" s="1" t="s">
        <v>114</v>
      </c>
      <c r="E225" s="1" t="s">
        <v>115</v>
      </c>
      <c r="F225" s="1" t="s">
        <v>116</v>
      </c>
      <c r="G225" s="1" t="s">
        <v>117</v>
      </c>
      <c r="H225" s="1" t="s">
        <v>58</v>
      </c>
      <c r="I225" s="1" t="s">
        <v>77</v>
      </c>
      <c r="J225" s="1" t="s">
        <v>61</v>
      </c>
      <c r="K225" s="1" t="s">
        <v>30</v>
      </c>
      <c r="L225" s="4">
        <v>0.66669999999999996</v>
      </c>
      <c r="M225" s="4">
        <v>0.67789999999999995</v>
      </c>
      <c r="N225" s="6">
        <f t="shared" si="3"/>
        <v>1.1199999999999988E-2</v>
      </c>
    </row>
    <row r="226" spans="1:14">
      <c r="A226" s="5">
        <v>46266</v>
      </c>
      <c r="B226" s="1" t="s">
        <v>113</v>
      </c>
      <c r="C226" s="1" t="s">
        <v>0</v>
      </c>
      <c r="D226" s="1" t="s">
        <v>114</v>
      </c>
      <c r="E226" s="1" t="s">
        <v>115</v>
      </c>
      <c r="F226" s="1" t="s">
        <v>116</v>
      </c>
      <c r="G226" s="1" t="s">
        <v>117</v>
      </c>
      <c r="H226" s="1" t="s">
        <v>58</v>
      </c>
      <c r="I226" s="1" t="s">
        <v>77</v>
      </c>
      <c r="J226" s="1" t="s">
        <v>61</v>
      </c>
      <c r="K226" s="1" t="s">
        <v>30</v>
      </c>
      <c r="L226" s="4">
        <v>0.66669999999999996</v>
      </c>
      <c r="M226" s="4">
        <v>0.67869999999999997</v>
      </c>
      <c r="N226" s="6">
        <f t="shared" si="3"/>
        <v>1.2000000000000011E-2</v>
      </c>
    </row>
    <row r="227" spans="1:14">
      <c r="A227" s="5">
        <v>46296</v>
      </c>
      <c r="B227" s="1" t="s">
        <v>113</v>
      </c>
      <c r="C227" s="1" t="s">
        <v>0</v>
      </c>
      <c r="D227" s="1" t="s">
        <v>114</v>
      </c>
      <c r="E227" s="1" t="s">
        <v>115</v>
      </c>
      <c r="F227" s="1" t="s">
        <v>116</v>
      </c>
      <c r="G227" s="1" t="s">
        <v>117</v>
      </c>
      <c r="H227" s="1" t="s">
        <v>58</v>
      </c>
      <c r="I227" s="1" t="s">
        <v>77</v>
      </c>
      <c r="J227" s="1" t="s">
        <v>61</v>
      </c>
      <c r="K227" s="1" t="s">
        <v>30</v>
      </c>
      <c r="L227" s="4">
        <v>0.66669999999999996</v>
      </c>
      <c r="M227" s="4">
        <v>0.68030000000000002</v>
      </c>
      <c r="N227" s="6">
        <f t="shared" si="3"/>
        <v>1.3600000000000056E-2</v>
      </c>
    </row>
    <row r="228" spans="1:14">
      <c r="A228" s="5">
        <v>46327</v>
      </c>
      <c r="B228" s="1" t="s">
        <v>113</v>
      </c>
      <c r="C228" s="1" t="s">
        <v>0</v>
      </c>
      <c r="D228" s="1" t="s">
        <v>114</v>
      </c>
      <c r="E228" s="1" t="s">
        <v>115</v>
      </c>
      <c r="F228" s="1" t="s">
        <v>116</v>
      </c>
      <c r="G228" s="1" t="s">
        <v>117</v>
      </c>
      <c r="H228" s="1" t="s">
        <v>58</v>
      </c>
      <c r="I228" s="1" t="s">
        <v>77</v>
      </c>
      <c r="J228" s="1" t="s">
        <v>61</v>
      </c>
      <c r="K228" s="1" t="s">
        <v>30</v>
      </c>
      <c r="L228" s="4">
        <v>0.66669999999999996</v>
      </c>
      <c r="M228" s="4">
        <v>0.68189999999999995</v>
      </c>
      <c r="N228" s="6">
        <f t="shared" si="3"/>
        <v>1.5199999999999991E-2</v>
      </c>
    </row>
    <row r="229" spans="1:14">
      <c r="A229" s="5">
        <v>46357</v>
      </c>
      <c r="B229" s="1" t="s">
        <v>113</v>
      </c>
      <c r="C229" s="1" t="s">
        <v>0</v>
      </c>
      <c r="D229" s="1" t="s">
        <v>114</v>
      </c>
      <c r="E229" s="1" t="s">
        <v>115</v>
      </c>
      <c r="F229" s="1" t="s">
        <v>116</v>
      </c>
      <c r="G229" s="1" t="s">
        <v>117</v>
      </c>
      <c r="H229" s="1" t="s">
        <v>58</v>
      </c>
      <c r="I229" s="1" t="s">
        <v>77</v>
      </c>
      <c r="J229" s="1" t="s">
        <v>61</v>
      </c>
      <c r="K229" s="1" t="s">
        <v>30</v>
      </c>
      <c r="L229" s="4">
        <v>0.66649999999999998</v>
      </c>
      <c r="M229" s="4">
        <v>0.68410000000000004</v>
      </c>
      <c r="N229" s="6">
        <f t="shared" si="3"/>
        <v>1.760000000000006E-2</v>
      </c>
    </row>
    <row r="230" spans="1:14">
      <c r="A230" s="5">
        <v>46023</v>
      </c>
      <c r="B230" s="1" t="s">
        <v>119</v>
      </c>
      <c r="C230" s="1" t="s">
        <v>64</v>
      </c>
      <c r="D230" s="1" t="s">
        <v>120</v>
      </c>
      <c r="E230" s="1" t="s">
        <v>121</v>
      </c>
      <c r="F230" s="1" t="s">
        <v>122</v>
      </c>
      <c r="G230" s="1" t="s">
        <v>117</v>
      </c>
      <c r="H230" s="1" t="s">
        <v>58</v>
      </c>
      <c r="I230" s="1" t="s">
        <v>77</v>
      </c>
      <c r="J230" s="1" t="s">
        <v>78</v>
      </c>
      <c r="K230" s="1" t="s">
        <v>12</v>
      </c>
      <c r="L230" s="4">
        <v>0.5</v>
      </c>
      <c r="M230" s="4">
        <v>0.49299999999999999</v>
      </c>
      <c r="N230" s="6">
        <f t="shared" si="3"/>
        <v>-7.0000000000000062E-3</v>
      </c>
    </row>
    <row r="231" spans="1:14">
      <c r="A231" s="5">
        <v>46054</v>
      </c>
      <c r="B231" s="1" t="s">
        <v>119</v>
      </c>
      <c r="C231" s="1" t="s">
        <v>64</v>
      </c>
      <c r="D231" s="1" t="s">
        <v>120</v>
      </c>
      <c r="E231" s="1" t="s">
        <v>121</v>
      </c>
      <c r="F231" s="1" t="s">
        <v>122</v>
      </c>
      <c r="G231" s="1" t="s">
        <v>117</v>
      </c>
      <c r="H231" s="1" t="s">
        <v>58</v>
      </c>
      <c r="I231" s="1" t="s">
        <v>77</v>
      </c>
      <c r="J231" s="1" t="s">
        <v>78</v>
      </c>
      <c r="K231" s="1" t="s">
        <v>12</v>
      </c>
      <c r="L231" s="4">
        <v>0.5</v>
      </c>
      <c r="M231" s="4">
        <v>0.49249999999999999</v>
      </c>
      <c r="N231" s="6">
        <f t="shared" si="3"/>
        <v>-7.5000000000000067E-3</v>
      </c>
    </row>
    <row r="232" spans="1:14">
      <c r="A232" s="5">
        <v>46082</v>
      </c>
      <c r="B232" s="1" t="s">
        <v>119</v>
      </c>
      <c r="C232" s="1" t="s">
        <v>64</v>
      </c>
      <c r="D232" s="1" t="s">
        <v>120</v>
      </c>
      <c r="E232" s="1" t="s">
        <v>121</v>
      </c>
      <c r="F232" s="1" t="s">
        <v>122</v>
      </c>
      <c r="G232" s="1" t="s">
        <v>117</v>
      </c>
      <c r="H232" s="1" t="s">
        <v>58</v>
      </c>
      <c r="I232" s="1" t="s">
        <v>77</v>
      </c>
      <c r="J232" s="1" t="s">
        <v>78</v>
      </c>
      <c r="K232" s="1" t="s">
        <v>12</v>
      </c>
      <c r="L232" s="4">
        <v>0.5</v>
      </c>
      <c r="M232" s="4">
        <v>0.49199999999999999</v>
      </c>
      <c r="N232" s="6">
        <f t="shared" si="3"/>
        <v>-8.0000000000000071E-3</v>
      </c>
    </row>
    <row r="233" spans="1:14">
      <c r="A233" s="5">
        <v>46113</v>
      </c>
      <c r="B233" s="1" t="s">
        <v>119</v>
      </c>
      <c r="C233" s="1" t="s">
        <v>64</v>
      </c>
      <c r="D233" s="1" t="s">
        <v>120</v>
      </c>
      <c r="E233" s="1" t="s">
        <v>121</v>
      </c>
      <c r="F233" s="1" t="s">
        <v>122</v>
      </c>
      <c r="G233" s="1" t="s">
        <v>117</v>
      </c>
      <c r="H233" s="1" t="s">
        <v>58</v>
      </c>
      <c r="I233" s="1" t="s">
        <v>77</v>
      </c>
      <c r="J233" s="1" t="s">
        <v>78</v>
      </c>
      <c r="K233" s="1" t="s">
        <v>12</v>
      </c>
      <c r="L233" s="4">
        <v>0.5</v>
      </c>
      <c r="M233" s="4">
        <v>0.49149999999999999</v>
      </c>
      <c r="N233" s="6">
        <f t="shared" si="3"/>
        <v>-8.5000000000000075E-3</v>
      </c>
    </row>
    <row r="234" spans="1:14">
      <c r="A234" s="5">
        <v>46143</v>
      </c>
      <c r="B234" s="1" t="s">
        <v>119</v>
      </c>
      <c r="C234" s="1" t="s">
        <v>64</v>
      </c>
      <c r="D234" s="1" t="s">
        <v>120</v>
      </c>
      <c r="E234" s="1" t="s">
        <v>121</v>
      </c>
      <c r="F234" s="1" t="s">
        <v>122</v>
      </c>
      <c r="G234" s="1" t="s">
        <v>117</v>
      </c>
      <c r="H234" s="1" t="s">
        <v>58</v>
      </c>
      <c r="I234" s="1" t="s">
        <v>77</v>
      </c>
      <c r="J234" s="1" t="s">
        <v>78</v>
      </c>
      <c r="K234" s="1" t="s">
        <v>12</v>
      </c>
      <c r="L234" s="4">
        <v>0.5</v>
      </c>
      <c r="M234" s="4">
        <v>0.49099999999999999</v>
      </c>
      <c r="N234" s="6">
        <f t="shared" si="3"/>
        <v>-9.000000000000008E-3</v>
      </c>
    </row>
    <row r="235" spans="1:14">
      <c r="A235" s="5">
        <v>46174</v>
      </c>
      <c r="B235" s="1" t="s">
        <v>119</v>
      </c>
      <c r="C235" s="1" t="s">
        <v>64</v>
      </c>
      <c r="D235" s="1" t="s">
        <v>120</v>
      </c>
      <c r="E235" s="1" t="s">
        <v>121</v>
      </c>
      <c r="F235" s="1" t="s">
        <v>122</v>
      </c>
      <c r="G235" s="1" t="s">
        <v>117</v>
      </c>
      <c r="H235" s="1" t="s">
        <v>58</v>
      </c>
      <c r="I235" s="1" t="s">
        <v>77</v>
      </c>
      <c r="J235" s="1" t="s">
        <v>78</v>
      </c>
      <c r="K235" s="1" t="s">
        <v>12</v>
      </c>
      <c r="L235" s="4">
        <v>0.5</v>
      </c>
      <c r="M235" s="4">
        <v>0.49</v>
      </c>
      <c r="N235" s="6">
        <f t="shared" si="3"/>
        <v>-1.0000000000000009E-2</v>
      </c>
    </row>
    <row r="236" spans="1:14">
      <c r="A236" s="5">
        <v>46204</v>
      </c>
      <c r="B236" s="1" t="s">
        <v>119</v>
      </c>
      <c r="C236" s="1" t="s">
        <v>64</v>
      </c>
      <c r="D236" s="1" t="s">
        <v>120</v>
      </c>
      <c r="E236" s="1" t="s">
        <v>121</v>
      </c>
      <c r="F236" s="1" t="s">
        <v>122</v>
      </c>
      <c r="G236" s="1" t="s">
        <v>117</v>
      </c>
      <c r="H236" s="1" t="s">
        <v>58</v>
      </c>
      <c r="I236" s="1" t="s">
        <v>77</v>
      </c>
      <c r="J236" s="1" t="s">
        <v>78</v>
      </c>
      <c r="K236" s="1" t="s">
        <v>27</v>
      </c>
      <c r="L236" s="4">
        <v>0.5</v>
      </c>
      <c r="M236" s="4">
        <v>0.50649999999999995</v>
      </c>
      <c r="N236" s="6">
        <f t="shared" si="3"/>
        <v>6.4999999999999503E-3</v>
      </c>
    </row>
    <row r="237" spans="1:14">
      <c r="A237" s="5">
        <v>46235</v>
      </c>
      <c r="B237" s="1" t="s">
        <v>119</v>
      </c>
      <c r="C237" s="1" t="s">
        <v>64</v>
      </c>
      <c r="D237" s="1" t="s">
        <v>120</v>
      </c>
      <c r="E237" s="1" t="s">
        <v>121</v>
      </c>
      <c r="F237" s="1" t="s">
        <v>122</v>
      </c>
      <c r="G237" s="1" t="s">
        <v>117</v>
      </c>
      <c r="H237" s="1" t="s">
        <v>58</v>
      </c>
      <c r="I237" s="1" t="s">
        <v>77</v>
      </c>
      <c r="J237" s="1" t="s">
        <v>78</v>
      </c>
      <c r="K237" s="1" t="s">
        <v>30</v>
      </c>
      <c r="L237" s="4">
        <v>0.5</v>
      </c>
      <c r="M237" s="4">
        <v>0.50700000000000001</v>
      </c>
      <c r="N237" s="6">
        <f t="shared" si="3"/>
        <v>7.0000000000000062E-3</v>
      </c>
    </row>
    <row r="238" spans="1:14">
      <c r="A238" s="5">
        <v>46266</v>
      </c>
      <c r="B238" s="1" t="s">
        <v>119</v>
      </c>
      <c r="C238" s="1" t="s">
        <v>64</v>
      </c>
      <c r="D238" s="1" t="s">
        <v>120</v>
      </c>
      <c r="E238" s="1" t="s">
        <v>121</v>
      </c>
      <c r="F238" s="1" t="s">
        <v>122</v>
      </c>
      <c r="G238" s="1" t="s">
        <v>117</v>
      </c>
      <c r="H238" s="1" t="s">
        <v>58</v>
      </c>
      <c r="I238" s="1" t="s">
        <v>77</v>
      </c>
      <c r="J238" s="1" t="s">
        <v>78</v>
      </c>
      <c r="K238" s="1" t="s">
        <v>30</v>
      </c>
      <c r="L238" s="4">
        <v>0.5</v>
      </c>
      <c r="M238" s="4">
        <v>0.50749999999999995</v>
      </c>
      <c r="N238" s="6">
        <f t="shared" si="3"/>
        <v>7.4999999999999512E-3</v>
      </c>
    </row>
    <row r="239" spans="1:14">
      <c r="A239" s="5">
        <v>46296</v>
      </c>
      <c r="B239" s="1" t="s">
        <v>119</v>
      </c>
      <c r="C239" s="1" t="s">
        <v>64</v>
      </c>
      <c r="D239" s="1" t="s">
        <v>120</v>
      </c>
      <c r="E239" s="1" t="s">
        <v>121</v>
      </c>
      <c r="F239" s="1" t="s">
        <v>122</v>
      </c>
      <c r="G239" s="1" t="s">
        <v>117</v>
      </c>
      <c r="H239" s="1" t="s">
        <v>58</v>
      </c>
      <c r="I239" s="1" t="s">
        <v>77</v>
      </c>
      <c r="J239" s="1" t="s">
        <v>78</v>
      </c>
      <c r="K239" s="1" t="s">
        <v>30</v>
      </c>
      <c r="L239" s="4">
        <v>0.5</v>
      </c>
      <c r="M239" s="4">
        <v>0.50849999999999995</v>
      </c>
      <c r="N239" s="6">
        <f t="shared" si="3"/>
        <v>8.499999999999952E-3</v>
      </c>
    </row>
    <row r="240" spans="1:14">
      <c r="A240" s="5">
        <v>46327</v>
      </c>
      <c r="B240" s="1" t="s">
        <v>119</v>
      </c>
      <c r="C240" s="1" t="s">
        <v>64</v>
      </c>
      <c r="D240" s="1" t="s">
        <v>120</v>
      </c>
      <c r="E240" s="1" t="s">
        <v>121</v>
      </c>
      <c r="F240" s="1" t="s">
        <v>122</v>
      </c>
      <c r="G240" s="1" t="s">
        <v>117</v>
      </c>
      <c r="H240" s="1" t="s">
        <v>58</v>
      </c>
      <c r="I240" s="1" t="s">
        <v>77</v>
      </c>
      <c r="J240" s="1" t="s">
        <v>78</v>
      </c>
      <c r="K240" s="1" t="s">
        <v>30</v>
      </c>
      <c r="L240" s="4">
        <v>0.5</v>
      </c>
      <c r="M240" s="4">
        <v>0.50949999999999995</v>
      </c>
      <c r="N240" s="6">
        <f t="shared" si="3"/>
        <v>9.4999999999999529E-3</v>
      </c>
    </row>
    <row r="241" spans="1:14">
      <c r="A241" s="5">
        <v>46357</v>
      </c>
      <c r="B241" s="1" t="s">
        <v>119</v>
      </c>
      <c r="C241" s="1" t="s">
        <v>64</v>
      </c>
      <c r="D241" s="1" t="s">
        <v>120</v>
      </c>
      <c r="E241" s="1" t="s">
        <v>121</v>
      </c>
      <c r="F241" s="1" t="s">
        <v>122</v>
      </c>
      <c r="G241" s="1" t="s">
        <v>117</v>
      </c>
      <c r="H241" s="1" t="s">
        <v>58</v>
      </c>
      <c r="I241" s="1" t="s">
        <v>77</v>
      </c>
      <c r="J241" s="1" t="s">
        <v>78</v>
      </c>
      <c r="K241" s="1" t="s">
        <v>30</v>
      </c>
      <c r="L241" s="4">
        <v>0.5</v>
      </c>
      <c r="M241" s="4">
        <v>0.51100000000000001</v>
      </c>
      <c r="N241" s="6">
        <f t="shared" si="3"/>
        <v>1.100000000000001E-2</v>
      </c>
    </row>
    <row r="242" spans="1:14">
      <c r="A242" s="5">
        <v>46023</v>
      </c>
      <c r="B242" s="1" t="s">
        <v>124</v>
      </c>
      <c r="C242" s="1" t="s">
        <v>64</v>
      </c>
      <c r="D242" s="1" t="s">
        <v>125</v>
      </c>
      <c r="E242" s="1" t="s">
        <v>121</v>
      </c>
      <c r="F242" s="1" t="s">
        <v>126</v>
      </c>
      <c r="G242" s="1" t="s">
        <v>117</v>
      </c>
      <c r="H242" s="1" t="s">
        <v>58</v>
      </c>
      <c r="I242" s="1" t="s">
        <v>77</v>
      </c>
      <c r="J242" s="1" t="s">
        <v>78</v>
      </c>
      <c r="K242" s="1" t="s">
        <v>12</v>
      </c>
      <c r="L242" s="4">
        <v>0.33329999999999999</v>
      </c>
      <c r="M242" s="4">
        <v>0.3291</v>
      </c>
      <c r="N242" s="6">
        <f t="shared" si="3"/>
        <v>-4.1999999999999815E-3</v>
      </c>
    </row>
    <row r="243" spans="1:14">
      <c r="A243" s="5">
        <v>46054</v>
      </c>
      <c r="B243" s="1" t="s">
        <v>124</v>
      </c>
      <c r="C243" s="1" t="s">
        <v>64</v>
      </c>
      <c r="D243" s="1" t="s">
        <v>125</v>
      </c>
      <c r="E243" s="1" t="s">
        <v>121</v>
      </c>
      <c r="F243" s="1" t="s">
        <v>126</v>
      </c>
      <c r="G243" s="1" t="s">
        <v>117</v>
      </c>
      <c r="H243" s="1" t="s">
        <v>58</v>
      </c>
      <c r="I243" s="1" t="s">
        <v>77</v>
      </c>
      <c r="J243" s="1" t="s">
        <v>78</v>
      </c>
      <c r="K243" s="1" t="s">
        <v>12</v>
      </c>
      <c r="L243" s="4">
        <v>0.33329999999999999</v>
      </c>
      <c r="M243" s="4">
        <v>0.32879999999999998</v>
      </c>
      <c r="N243" s="6">
        <f t="shared" si="3"/>
        <v>-4.500000000000004E-3</v>
      </c>
    </row>
    <row r="244" spans="1:14">
      <c r="A244" s="5">
        <v>46082</v>
      </c>
      <c r="B244" s="1" t="s">
        <v>124</v>
      </c>
      <c r="C244" s="1" t="s">
        <v>64</v>
      </c>
      <c r="D244" s="1" t="s">
        <v>125</v>
      </c>
      <c r="E244" s="1" t="s">
        <v>121</v>
      </c>
      <c r="F244" s="1" t="s">
        <v>126</v>
      </c>
      <c r="G244" s="1" t="s">
        <v>117</v>
      </c>
      <c r="H244" s="1" t="s">
        <v>58</v>
      </c>
      <c r="I244" s="1" t="s">
        <v>77</v>
      </c>
      <c r="J244" s="1" t="s">
        <v>78</v>
      </c>
      <c r="K244" s="1" t="s">
        <v>12</v>
      </c>
      <c r="L244" s="4">
        <v>0.33329999999999999</v>
      </c>
      <c r="M244" s="4">
        <v>0.32850000000000001</v>
      </c>
      <c r="N244" s="6">
        <f t="shared" si="3"/>
        <v>-4.799999999999971E-3</v>
      </c>
    </row>
    <row r="245" spans="1:14">
      <c r="A245" s="5">
        <v>46113</v>
      </c>
      <c r="B245" s="1" t="s">
        <v>124</v>
      </c>
      <c r="C245" s="1" t="s">
        <v>64</v>
      </c>
      <c r="D245" s="1" t="s">
        <v>125</v>
      </c>
      <c r="E245" s="1" t="s">
        <v>121</v>
      </c>
      <c r="F245" s="1" t="s">
        <v>126</v>
      </c>
      <c r="G245" s="1" t="s">
        <v>117</v>
      </c>
      <c r="H245" s="1" t="s">
        <v>58</v>
      </c>
      <c r="I245" s="1" t="s">
        <v>77</v>
      </c>
      <c r="J245" s="1" t="s">
        <v>78</v>
      </c>
      <c r="K245" s="1" t="s">
        <v>12</v>
      </c>
      <c r="L245" s="4">
        <v>0.33329999999999999</v>
      </c>
      <c r="M245" s="4">
        <v>0.32819999999999999</v>
      </c>
      <c r="N245" s="6">
        <f t="shared" si="3"/>
        <v>-5.0999999999999934E-3</v>
      </c>
    </row>
    <row r="246" spans="1:14">
      <c r="A246" s="5">
        <v>46143</v>
      </c>
      <c r="B246" s="1" t="s">
        <v>124</v>
      </c>
      <c r="C246" s="1" t="s">
        <v>64</v>
      </c>
      <c r="D246" s="1" t="s">
        <v>125</v>
      </c>
      <c r="E246" s="1" t="s">
        <v>121</v>
      </c>
      <c r="F246" s="1" t="s">
        <v>126</v>
      </c>
      <c r="G246" s="1" t="s">
        <v>117</v>
      </c>
      <c r="H246" s="1" t="s">
        <v>58</v>
      </c>
      <c r="I246" s="1" t="s">
        <v>77</v>
      </c>
      <c r="J246" s="1" t="s">
        <v>78</v>
      </c>
      <c r="K246" s="1" t="s">
        <v>12</v>
      </c>
      <c r="L246" s="4">
        <v>0.33329999999999999</v>
      </c>
      <c r="M246" s="4">
        <v>0.32790000000000002</v>
      </c>
      <c r="N246" s="6">
        <f t="shared" si="3"/>
        <v>-5.3999999999999604E-3</v>
      </c>
    </row>
    <row r="247" spans="1:14">
      <c r="A247" s="5">
        <v>46174</v>
      </c>
      <c r="B247" s="1" t="s">
        <v>124</v>
      </c>
      <c r="C247" s="1" t="s">
        <v>64</v>
      </c>
      <c r="D247" s="1" t="s">
        <v>125</v>
      </c>
      <c r="E247" s="1" t="s">
        <v>121</v>
      </c>
      <c r="F247" s="1" t="s">
        <v>126</v>
      </c>
      <c r="G247" s="1" t="s">
        <v>117</v>
      </c>
      <c r="H247" s="1" t="s">
        <v>58</v>
      </c>
      <c r="I247" s="1" t="s">
        <v>77</v>
      </c>
      <c r="J247" s="1" t="s">
        <v>78</v>
      </c>
      <c r="K247" s="1" t="s">
        <v>12</v>
      </c>
      <c r="L247" s="4">
        <v>0.33350000000000002</v>
      </c>
      <c r="M247" s="4">
        <v>0.32750000000000001</v>
      </c>
      <c r="N247" s="6">
        <f t="shared" si="3"/>
        <v>-6.0000000000000053E-3</v>
      </c>
    </row>
    <row r="248" spans="1:14">
      <c r="A248" s="5">
        <v>46204</v>
      </c>
      <c r="B248" s="1" t="s">
        <v>124</v>
      </c>
      <c r="C248" s="1" t="s">
        <v>64</v>
      </c>
      <c r="D248" s="1" t="s">
        <v>125</v>
      </c>
      <c r="E248" s="1" t="s">
        <v>121</v>
      </c>
      <c r="F248" s="1" t="s">
        <v>126</v>
      </c>
      <c r="G248" s="1" t="s">
        <v>117</v>
      </c>
      <c r="H248" s="1" t="s">
        <v>58</v>
      </c>
      <c r="I248" s="1" t="s">
        <v>77</v>
      </c>
      <c r="J248" s="1" t="s">
        <v>78</v>
      </c>
      <c r="K248" s="1" t="s">
        <v>27</v>
      </c>
      <c r="L248" s="4">
        <v>0.33329999999999999</v>
      </c>
      <c r="M248" s="4">
        <v>0.3372</v>
      </c>
      <c r="N248" s="6">
        <f t="shared" si="3"/>
        <v>3.9000000000000146E-3</v>
      </c>
    </row>
    <row r="249" spans="1:14">
      <c r="A249" s="5">
        <v>46235</v>
      </c>
      <c r="B249" s="1" t="s">
        <v>124</v>
      </c>
      <c r="C249" s="1" t="s">
        <v>64</v>
      </c>
      <c r="D249" s="1" t="s">
        <v>125</v>
      </c>
      <c r="E249" s="1" t="s">
        <v>121</v>
      </c>
      <c r="F249" s="1" t="s">
        <v>126</v>
      </c>
      <c r="G249" s="1" t="s">
        <v>117</v>
      </c>
      <c r="H249" s="1" t="s">
        <v>58</v>
      </c>
      <c r="I249" s="1" t="s">
        <v>77</v>
      </c>
      <c r="J249" s="1" t="s">
        <v>78</v>
      </c>
      <c r="K249" s="1" t="s">
        <v>30</v>
      </c>
      <c r="L249" s="4">
        <v>0.33329999999999999</v>
      </c>
      <c r="M249" s="4">
        <v>0.33750000000000002</v>
      </c>
      <c r="N249" s="6">
        <f t="shared" si="3"/>
        <v>4.200000000000037E-3</v>
      </c>
    </row>
    <row r="250" spans="1:14">
      <c r="A250" s="5">
        <v>46266</v>
      </c>
      <c r="B250" s="1" t="s">
        <v>124</v>
      </c>
      <c r="C250" s="1" t="s">
        <v>64</v>
      </c>
      <c r="D250" s="1" t="s">
        <v>125</v>
      </c>
      <c r="E250" s="1" t="s">
        <v>121</v>
      </c>
      <c r="F250" s="1" t="s">
        <v>126</v>
      </c>
      <c r="G250" s="1" t="s">
        <v>117</v>
      </c>
      <c r="H250" s="1" t="s">
        <v>58</v>
      </c>
      <c r="I250" s="1" t="s">
        <v>77</v>
      </c>
      <c r="J250" s="1" t="s">
        <v>78</v>
      </c>
      <c r="K250" s="1" t="s">
        <v>30</v>
      </c>
      <c r="L250" s="4">
        <v>0.33329999999999999</v>
      </c>
      <c r="M250" s="4">
        <v>0.33779999999999999</v>
      </c>
      <c r="N250" s="6">
        <f t="shared" si="3"/>
        <v>4.500000000000004E-3</v>
      </c>
    </row>
    <row r="251" spans="1:14">
      <c r="A251" s="5">
        <v>46296</v>
      </c>
      <c r="B251" s="1" t="s">
        <v>124</v>
      </c>
      <c r="C251" s="1" t="s">
        <v>64</v>
      </c>
      <c r="D251" s="1" t="s">
        <v>125</v>
      </c>
      <c r="E251" s="1" t="s">
        <v>121</v>
      </c>
      <c r="F251" s="1" t="s">
        <v>126</v>
      </c>
      <c r="G251" s="1" t="s">
        <v>117</v>
      </c>
      <c r="H251" s="1" t="s">
        <v>58</v>
      </c>
      <c r="I251" s="1" t="s">
        <v>77</v>
      </c>
      <c r="J251" s="1" t="s">
        <v>78</v>
      </c>
      <c r="K251" s="1" t="s">
        <v>30</v>
      </c>
      <c r="L251" s="4">
        <v>0.33329999999999999</v>
      </c>
      <c r="M251" s="4">
        <v>0.33839999999999998</v>
      </c>
      <c r="N251" s="6">
        <f t="shared" si="3"/>
        <v>5.0999999999999934E-3</v>
      </c>
    </row>
    <row r="252" spans="1:14">
      <c r="A252" s="5">
        <v>46327</v>
      </c>
      <c r="B252" s="1" t="s">
        <v>124</v>
      </c>
      <c r="C252" s="1" t="s">
        <v>64</v>
      </c>
      <c r="D252" s="1" t="s">
        <v>125</v>
      </c>
      <c r="E252" s="1" t="s">
        <v>121</v>
      </c>
      <c r="F252" s="1" t="s">
        <v>126</v>
      </c>
      <c r="G252" s="1" t="s">
        <v>117</v>
      </c>
      <c r="H252" s="1" t="s">
        <v>58</v>
      </c>
      <c r="I252" s="1" t="s">
        <v>77</v>
      </c>
      <c r="J252" s="1" t="s">
        <v>78</v>
      </c>
      <c r="K252" s="1" t="s">
        <v>30</v>
      </c>
      <c r="L252" s="4">
        <v>0.33329999999999999</v>
      </c>
      <c r="M252" s="4">
        <v>0.33900000000000002</v>
      </c>
      <c r="N252" s="6">
        <f t="shared" si="3"/>
        <v>5.7000000000000384E-3</v>
      </c>
    </row>
    <row r="253" spans="1:14">
      <c r="A253" s="5">
        <v>46357</v>
      </c>
      <c r="B253" s="1" t="s">
        <v>124</v>
      </c>
      <c r="C253" s="1" t="s">
        <v>64</v>
      </c>
      <c r="D253" s="1" t="s">
        <v>125</v>
      </c>
      <c r="E253" s="1" t="s">
        <v>121</v>
      </c>
      <c r="F253" s="1" t="s">
        <v>126</v>
      </c>
      <c r="G253" s="1" t="s">
        <v>117</v>
      </c>
      <c r="H253" s="1" t="s">
        <v>58</v>
      </c>
      <c r="I253" s="1" t="s">
        <v>77</v>
      </c>
      <c r="J253" s="1" t="s">
        <v>78</v>
      </c>
      <c r="K253" s="1" t="s">
        <v>30</v>
      </c>
      <c r="L253" s="4">
        <v>0.33350000000000002</v>
      </c>
      <c r="M253" s="4">
        <v>0.34010000000000001</v>
      </c>
      <c r="N253" s="6">
        <f t="shared" si="3"/>
        <v>6.5999999999999948E-3</v>
      </c>
    </row>
    <row r="254" spans="1:14">
      <c r="A254" s="5">
        <v>46023</v>
      </c>
      <c r="B254" s="1" t="s">
        <v>128</v>
      </c>
      <c r="C254" s="1" t="s">
        <v>64</v>
      </c>
      <c r="D254" s="1" t="s">
        <v>110</v>
      </c>
      <c r="E254" s="1" t="s">
        <v>121</v>
      </c>
      <c r="F254" s="1" t="s">
        <v>129</v>
      </c>
      <c r="G254" s="1" t="s">
        <v>117</v>
      </c>
      <c r="H254" s="1" t="s">
        <v>58</v>
      </c>
      <c r="I254" s="1" t="s">
        <v>77</v>
      </c>
      <c r="J254" s="1" t="s">
        <v>61</v>
      </c>
      <c r="K254" s="1" t="s">
        <v>12</v>
      </c>
      <c r="L254" s="4">
        <v>0.25</v>
      </c>
      <c r="M254" s="4">
        <v>0.2472</v>
      </c>
      <c r="N254" s="6">
        <f t="shared" si="3"/>
        <v>-2.7999999999999969E-3</v>
      </c>
    </row>
    <row r="255" spans="1:14">
      <c r="A255" s="5">
        <v>46054</v>
      </c>
      <c r="B255" s="1" t="s">
        <v>128</v>
      </c>
      <c r="C255" s="1" t="s">
        <v>64</v>
      </c>
      <c r="D255" s="1" t="s">
        <v>110</v>
      </c>
      <c r="E255" s="1" t="s">
        <v>121</v>
      </c>
      <c r="F255" s="1" t="s">
        <v>129</v>
      </c>
      <c r="G255" s="1" t="s">
        <v>117</v>
      </c>
      <c r="H255" s="1" t="s">
        <v>58</v>
      </c>
      <c r="I255" s="1" t="s">
        <v>77</v>
      </c>
      <c r="J255" s="1" t="s">
        <v>61</v>
      </c>
      <c r="K255" s="1" t="s">
        <v>12</v>
      </c>
      <c r="L255" s="4">
        <v>0.25</v>
      </c>
      <c r="M255" s="4">
        <v>0.247</v>
      </c>
      <c r="N255" s="6">
        <f t="shared" si="3"/>
        <v>-3.0000000000000027E-3</v>
      </c>
    </row>
    <row r="256" spans="1:14">
      <c r="A256" s="5">
        <v>46082</v>
      </c>
      <c r="B256" s="1" t="s">
        <v>128</v>
      </c>
      <c r="C256" s="1" t="s">
        <v>64</v>
      </c>
      <c r="D256" s="1" t="s">
        <v>110</v>
      </c>
      <c r="E256" s="1" t="s">
        <v>121</v>
      </c>
      <c r="F256" s="1" t="s">
        <v>129</v>
      </c>
      <c r="G256" s="1" t="s">
        <v>117</v>
      </c>
      <c r="H256" s="1" t="s">
        <v>58</v>
      </c>
      <c r="I256" s="1" t="s">
        <v>77</v>
      </c>
      <c r="J256" s="1" t="s">
        <v>61</v>
      </c>
      <c r="K256" s="1" t="s">
        <v>12</v>
      </c>
      <c r="L256" s="4">
        <v>0.25</v>
      </c>
      <c r="M256" s="4">
        <v>0.24679999999999999</v>
      </c>
      <c r="N256" s="6">
        <f t="shared" si="3"/>
        <v>-3.2000000000000084E-3</v>
      </c>
    </row>
    <row r="257" spans="1:14">
      <c r="A257" s="5">
        <v>46113</v>
      </c>
      <c r="B257" s="1" t="s">
        <v>128</v>
      </c>
      <c r="C257" s="1" t="s">
        <v>64</v>
      </c>
      <c r="D257" s="1" t="s">
        <v>110</v>
      </c>
      <c r="E257" s="1" t="s">
        <v>121</v>
      </c>
      <c r="F257" s="1" t="s">
        <v>129</v>
      </c>
      <c r="G257" s="1" t="s">
        <v>117</v>
      </c>
      <c r="H257" s="1" t="s">
        <v>58</v>
      </c>
      <c r="I257" s="1" t="s">
        <v>77</v>
      </c>
      <c r="J257" s="1" t="s">
        <v>61</v>
      </c>
      <c r="K257" s="1" t="s">
        <v>12</v>
      </c>
      <c r="L257" s="4">
        <v>0.25</v>
      </c>
      <c r="M257" s="4">
        <v>0.24660000000000001</v>
      </c>
      <c r="N257" s="6">
        <f t="shared" si="3"/>
        <v>-3.3999999999999864E-3</v>
      </c>
    </row>
    <row r="258" spans="1:14">
      <c r="A258" s="5">
        <v>46143</v>
      </c>
      <c r="B258" s="1" t="s">
        <v>128</v>
      </c>
      <c r="C258" s="1" t="s">
        <v>64</v>
      </c>
      <c r="D258" s="1" t="s">
        <v>110</v>
      </c>
      <c r="E258" s="1" t="s">
        <v>121</v>
      </c>
      <c r="F258" s="1" t="s">
        <v>129</v>
      </c>
      <c r="G258" s="1" t="s">
        <v>117</v>
      </c>
      <c r="H258" s="1" t="s">
        <v>58</v>
      </c>
      <c r="I258" s="1" t="s">
        <v>77</v>
      </c>
      <c r="J258" s="1" t="s">
        <v>61</v>
      </c>
      <c r="K258" s="1" t="s">
        <v>12</v>
      </c>
      <c r="L258" s="4">
        <v>0.25</v>
      </c>
      <c r="M258" s="4">
        <v>0.24640000000000001</v>
      </c>
      <c r="N258" s="6">
        <f t="shared" ref="N258:N277" si="4">M258-L258</f>
        <v>-3.5999999999999921E-3</v>
      </c>
    </row>
    <row r="259" spans="1:14">
      <c r="A259" s="5">
        <v>46174</v>
      </c>
      <c r="B259" s="1" t="s">
        <v>128</v>
      </c>
      <c r="C259" s="1" t="s">
        <v>64</v>
      </c>
      <c r="D259" s="1" t="s">
        <v>110</v>
      </c>
      <c r="E259" s="1" t="s">
        <v>121</v>
      </c>
      <c r="F259" s="1" t="s">
        <v>129</v>
      </c>
      <c r="G259" s="1" t="s">
        <v>117</v>
      </c>
      <c r="H259" s="1" t="s">
        <v>58</v>
      </c>
      <c r="I259" s="1" t="s">
        <v>77</v>
      </c>
      <c r="J259" s="1" t="s">
        <v>61</v>
      </c>
      <c r="K259" s="1" t="s">
        <v>12</v>
      </c>
      <c r="L259" s="4">
        <v>0.25</v>
      </c>
      <c r="M259" s="4">
        <v>0.246</v>
      </c>
      <c r="N259" s="6">
        <f t="shared" si="4"/>
        <v>-4.0000000000000036E-3</v>
      </c>
    </row>
    <row r="260" spans="1:14">
      <c r="A260" s="5">
        <v>46204</v>
      </c>
      <c r="B260" s="1" t="s">
        <v>128</v>
      </c>
      <c r="C260" s="1" t="s">
        <v>64</v>
      </c>
      <c r="D260" s="1" t="s">
        <v>110</v>
      </c>
      <c r="E260" s="1" t="s">
        <v>121</v>
      </c>
      <c r="F260" s="1" t="s">
        <v>129</v>
      </c>
      <c r="G260" s="1" t="s">
        <v>117</v>
      </c>
      <c r="H260" s="1" t="s">
        <v>58</v>
      </c>
      <c r="I260" s="1" t="s">
        <v>77</v>
      </c>
      <c r="J260" s="1" t="s">
        <v>61</v>
      </c>
      <c r="K260" s="1" t="s">
        <v>27</v>
      </c>
      <c r="L260" s="4">
        <v>0.25</v>
      </c>
      <c r="M260" s="4">
        <v>0.25259999999999999</v>
      </c>
      <c r="N260" s="6">
        <f t="shared" si="4"/>
        <v>2.5999999999999912E-3</v>
      </c>
    </row>
    <row r="261" spans="1:14">
      <c r="A261" s="5">
        <v>46235</v>
      </c>
      <c r="B261" s="1" t="s">
        <v>128</v>
      </c>
      <c r="C261" s="1" t="s">
        <v>64</v>
      </c>
      <c r="D261" s="1" t="s">
        <v>110</v>
      </c>
      <c r="E261" s="1" t="s">
        <v>121</v>
      </c>
      <c r="F261" s="1" t="s">
        <v>129</v>
      </c>
      <c r="G261" s="1" t="s">
        <v>117</v>
      </c>
      <c r="H261" s="1" t="s">
        <v>58</v>
      </c>
      <c r="I261" s="1" t="s">
        <v>77</v>
      </c>
      <c r="J261" s="1" t="s">
        <v>61</v>
      </c>
      <c r="K261" s="1" t="s">
        <v>30</v>
      </c>
      <c r="L261" s="4">
        <v>0.25</v>
      </c>
      <c r="M261" s="4">
        <v>0.25280000000000002</v>
      </c>
      <c r="N261" s="6">
        <f t="shared" si="4"/>
        <v>2.8000000000000247E-3</v>
      </c>
    </row>
    <row r="262" spans="1:14">
      <c r="A262" s="5">
        <v>46266</v>
      </c>
      <c r="B262" s="1" t="s">
        <v>128</v>
      </c>
      <c r="C262" s="1" t="s">
        <v>64</v>
      </c>
      <c r="D262" s="1" t="s">
        <v>110</v>
      </c>
      <c r="E262" s="1" t="s">
        <v>121</v>
      </c>
      <c r="F262" s="1" t="s">
        <v>129</v>
      </c>
      <c r="G262" s="1" t="s">
        <v>117</v>
      </c>
      <c r="H262" s="1" t="s">
        <v>58</v>
      </c>
      <c r="I262" s="1" t="s">
        <v>77</v>
      </c>
      <c r="J262" s="1" t="s">
        <v>61</v>
      </c>
      <c r="K262" s="1" t="s">
        <v>30</v>
      </c>
      <c r="L262" s="4">
        <v>0.25</v>
      </c>
      <c r="M262" s="4">
        <v>0.253</v>
      </c>
      <c r="N262" s="6">
        <f t="shared" si="4"/>
        <v>3.0000000000000027E-3</v>
      </c>
    </row>
    <row r="263" spans="1:14">
      <c r="A263" s="5">
        <v>46296</v>
      </c>
      <c r="B263" s="1" t="s">
        <v>128</v>
      </c>
      <c r="C263" s="1" t="s">
        <v>64</v>
      </c>
      <c r="D263" s="1" t="s">
        <v>110</v>
      </c>
      <c r="E263" s="1" t="s">
        <v>121</v>
      </c>
      <c r="F263" s="1" t="s">
        <v>129</v>
      </c>
      <c r="G263" s="1" t="s">
        <v>117</v>
      </c>
      <c r="H263" s="1" t="s">
        <v>58</v>
      </c>
      <c r="I263" s="1" t="s">
        <v>77</v>
      </c>
      <c r="J263" s="1" t="s">
        <v>61</v>
      </c>
      <c r="K263" s="1" t="s">
        <v>30</v>
      </c>
      <c r="L263" s="4">
        <v>0.25</v>
      </c>
      <c r="M263" s="4">
        <v>0.25340000000000001</v>
      </c>
      <c r="N263" s="6">
        <f t="shared" si="4"/>
        <v>3.4000000000000141E-3</v>
      </c>
    </row>
    <row r="264" spans="1:14">
      <c r="A264" s="5">
        <v>46327</v>
      </c>
      <c r="B264" s="1" t="s">
        <v>128</v>
      </c>
      <c r="C264" s="1" t="s">
        <v>64</v>
      </c>
      <c r="D264" s="1" t="s">
        <v>110</v>
      </c>
      <c r="E264" s="1" t="s">
        <v>121</v>
      </c>
      <c r="F264" s="1" t="s">
        <v>129</v>
      </c>
      <c r="G264" s="1" t="s">
        <v>117</v>
      </c>
      <c r="H264" s="1" t="s">
        <v>58</v>
      </c>
      <c r="I264" s="1" t="s">
        <v>77</v>
      </c>
      <c r="J264" s="1" t="s">
        <v>61</v>
      </c>
      <c r="K264" s="1" t="s">
        <v>30</v>
      </c>
      <c r="L264" s="4">
        <v>0.25</v>
      </c>
      <c r="M264" s="4">
        <v>0.25380000000000003</v>
      </c>
      <c r="N264" s="6">
        <f t="shared" si="4"/>
        <v>3.8000000000000256E-3</v>
      </c>
    </row>
    <row r="265" spans="1:14">
      <c r="A265" s="5">
        <v>46357</v>
      </c>
      <c r="B265" s="1" t="s">
        <v>128</v>
      </c>
      <c r="C265" s="1" t="s">
        <v>64</v>
      </c>
      <c r="D265" s="1" t="s">
        <v>110</v>
      </c>
      <c r="E265" s="1" t="s">
        <v>121</v>
      </c>
      <c r="F265" s="1" t="s">
        <v>129</v>
      </c>
      <c r="G265" s="1" t="s">
        <v>117</v>
      </c>
      <c r="H265" s="1" t="s">
        <v>58</v>
      </c>
      <c r="I265" s="1" t="s">
        <v>77</v>
      </c>
      <c r="J265" s="1" t="s">
        <v>61</v>
      </c>
      <c r="K265" s="1" t="s">
        <v>30</v>
      </c>
      <c r="L265" s="4">
        <v>0.25</v>
      </c>
      <c r="M265" s="4">
        <v>0.25440000000000002</v>
      </c>
      <c r="N265" s="6">
        <f t="shared" si="4"/>
        <v>4.400000000000015E-3</v>
      </c>
    </row>
    <row r="266" spans="1:14">
      <c r="A266" s="5">
        <v>46023</v>
      </c>
      <c r="B266" s="1" t="s">
        <v>131</v>
      </c>
      <c r="C266" s="1" t="s">
        <v>64</v>
      </c>
      <c r="D266" s="1" t="s">
        <v>110</v>
      </c>
      <c r="E266" s="1" t="s">
        <v>121</v>
      </c>
      <c r="F266" s="1" t="s">
        <v>132</v>
      </c>
      <c r="G266" s="1" t="s">
        <v>117</v>
      </c>
      <c r="H266" s="1" t="s">
        <v>58</v>
      </c>
      <c r="I266" s="1" t="s">
        <v>77</v>
      </c>
      <c r="J266" s="1" t="s">
        <v>61</v>
      </c>
      <c r="K266" s="1" t="s">
        <v>12</v>
      </c>
      <c r="L266" s="4">
        <v>0.33329999999999999</v>
      </c>
      <c r="M266" s="4">
        <v>0.33050000000000002</v>
      </c>
      <c r="N266" s="6">
        <f t="shared" si="4"/>
        <v>-2.7999999999999692E-3</v>
      </c>
    </row>
    <row r="267" spans="1:14">
      <c r="A267" s="5">
        <v>46054</v>
      </c>
      <c r="B267" s="1" t="s">
        <v>131</v>
      </c>
      <c r="C267" s="1" t="s">
        <v>64</v>
      </c>
      <c r="D267" s="1" t="s">
        <v>110</v>
      </c>
      <c r="E267" s="1" t="s">
        <v>121</v>
      </c>
      <c r="F267" s="1" t="s">
        <v>132</v>
      </c>
      <c r="G267" s="1" t="s">
        <v>117</v>
      </c>
      <c r="H267" s="1" t="s">
        <v>58</v>
      </c>
      <c r="I267" s="1" t="s">
        <v>77</v>
      </c>
      <c r="J267" s="1" t="s">
        <v>61</v>
      </c>
      <c r="K267" s="1" t="s">
        <v>12</v>
      </c>
      <c r="L267" s="4">
        <v>0.33329999999999999</v>
      </c>
      <c r="M267" s="4">
        <v>0.33029999999999998</v>
      </c>
      <c r="N267" s="6">
        <f t="shared" si="4"/>
        <v>-3.0000000000000027E-3</v>
      </c>
    </row>
    <row r="268" spans="1:14">
      <c r="A268" s="5">
        <v>46082</v>
      </c>
      <c r="B268" s="1" t="s">
        <v>131</v>
      </c>
      <c r="C268" s="1" t="s">
        <v>64</v>
      </c>
      <c r="D268" s="1" t="s">
        <v>110</v>
      </c>
      <c r="E268" s="1" t="s">
        <v>121</v>
      </c>
      <c r="F268" s="1" t="s">
        <v>132</v>
      </c>
      <c r="G268" s="1" t="s">
        <v>117</v>
      </c>
      <c r="H268" s="1" t="s">
        <v>58</v>
      </c>
      <c r="I268" s="1" t="s">
        <v>77</v>
      </c>
      <c r="J268" s="1" t="s">
        <v>61</v>
      </c>
      <c r="K268" s="1" t="s">
        <v>12</v>
      </c>
      <c r="L268" s="4">
        <v>0.33329999999999999</v>
      </c>
      <c r="M268" s="4">
        <v>0.3301</v>
      </c>
      <c r="N268" s="6">
        <f t="shared" si="4"/>
        <v>-3.1999999999999806E-3</v>
      </c>
    </row>
    <row r="269" spans="1:14">
      <c r="A269" s="5">
        <v>46113</v>
      </c>
      <c r="B269" s="1" t="s">
        <v>131</v>
      </c>
      <c r="C269" s="1" t="s">
        <v>64</v>
      </c>
      <c r="D269" s="1" t="s">
        <v>110</v>
      </c>
      <c r="E269" s="1" t="s">
        <v>121</v>
      </c>
      <c r="F269" s="1" t="s">
        <v>132</v>
      </c>
      <c r="G269" s="1" t="s">
        <v>117</v>
      </c>
      <c r="H269" s="1" t="s">
        <v>58</v>
      </c>
      <c r="I269" s="1" t="s">
        <v>77</v>
      </c>
      <c r="J269" s="1" t="s">
        <v>61</v>
      </c>
      <c r="K269" s="1" t="s">
        <v>12</v>
      </c>
      <c r="L269" s="4">
        <v>0.33329999999999999</v>
      </c>
      <c r="M269" s="4">
        <v>0.32990000000000003</v>
      </c>
      <c r="N269" s="6">
        <f t="shared" si="4"/>
        <v>-3.3999999999999586E-3</v>
      </c>
    </row>
    <row r="270" spans="1:14">
      <c r="A270" s="5">
        <v>46143</v>
      </c>
      <c r="B270" s="1" t="s">
        <v>131</v>
      </c>
      <c r="C270" s="1" t="s">
        <v>64</v>
      </c>
      <c r="D270" s="1" t="s">
        <v>110</v>
      </c>
      <c r="E270" s="1" t="s">
        <v>121</v>
      </c>
      <c r="F270" s="1" t="s">
        <v>132</v>
      </c>
      <c r="G270" s="1" t="s">
        <v>117</v>
      </c>
      <c r="H270" s="1" t="s">
        <v>58</v>
      </c>
      <c r="I270" s="1" t="s">
        <v>77</v>
      </c>
      <c r="J270" s="1" t="s">
        <v>61</v>
      </c>
      <c r="K270" s="1" t="s">
        <v>12</v>
      </c>
      <c r="L270" s="4">
        <v>0.33329999999999999</v>
      </c>
      <c r="M270" s="4">
        <v>0.32969999999999999</v>
      </c>
      <c r="N270" s="6">
        <f t="shared" si="4"/>
        <v>-3.5999999999999921E-3</v>
      </c>
    </row>
    <row r="271" spans="1:14">
      <c r="A271" s="5">
        <v>46174</v>
      </c>
      <c r="B271" s="1" t="s">
        <v>131</v>
      </c>
      <c r="C271" s="1" t="s">
        <v>64</v>
      </c>
      <c r="D271" s="1" t="s">
        <v>110</v>
      </c>
      <c r="E271" s="1" t="s">
        <v>121</v>
      </c>
      <c r="F271" s="1" t="s">
        <v>132</v>
      </c>
      <c r="G271" s="1" t="s">
        <v>117</v>
      </c>
      <c r="H271" s="1" t="s">
        <v>58</v>
      </c>
      <c r="I271" s="1" t="s">
        <v>77</v>
      </c>
      <c r="J271" s="1" t="s">
        <v>61</v>
      </c>
      <c r="K271" s="1" t="s">
        <v>12</v>
      </c>
      <c r="L271" s="4">
        <v>0.33350000000000002</v>
      </c>
      <c r="M271" s="4">
        <v>0.32950000000000002</v>
      </c>
      <c r="N271" s="6">
        <f t="shared" si="4"/>
        <v>-4.0000000000000036E-3</v>
      </c>
    </row>
    <row r="272" spans="1:14">
      <c r="A272" s="5">
        <v>46204</v>
      </c>
      <c r="B272" s="1" t="s">
        <v>131</v>
      </c>
      <c r="C272" s="1" t="s">
        <v>64</v>
      </c>
      <c r="D272" s="1" t="s">
        <v>110</v>
      </c>
      <c r="E272" s="1" t="s">
        <v>121</v>
      </c>
      <c r="F272" s="1" t="s">
        <v>132</v>
      </c>
      <c r="G272" s="1" t="s">
        <v>117</v>
      </c>
      <c r="H272" s="1" t="s">
        <v>58</v>
      </c>
      <c r="I272" s="1" t="s">
        <v>77</v>
      </c>
      <c r="J272" s="1" t="s">
        <v>61</v>
      </c>
      <c r="K272" s="1" t="s">
        <v>27</v>
      </c>
      <c r="L272" s="4">
        <v>0.33329999999999999</v>
      </c>
      <c r="M272" s="4">
        <v>0.33589999999999998</v>
      </c>
      <c r="N272" s="6">
        <f t="shared" si="4"/>
        <v>2.5999999999999912E-3</v>
      </c>
    </row>
    <row r="273" spans="1:14">
      <c r="A273" s="5">
        <v>46235</v>
      </c>
      <c r="B273" s="1" t="s">
        <v>131</v>
      </c>
      <c r="C273" s="1" t="s">
        <v>64</v>
      </c>
      <c r="D273" s="1" t="s">
        <v>110</v>
      </c>
      <c r="E273" s="1" t="s">
        <v>121</v>
      </c>
      <c r="F273" s="1" t="s">
        <v>132</v>
      </c>
      <c r="G273" s="1" t="s">
        <v>117</v>
      </c>
      <c r="H273" s="1" t="s">
        <v>58</v>
      </c>
      <c r="I273" s="1" t="s">
        <v>77</v>
      </c>
      <c r="J273" s="1" t="s">
        <v>61</v>
      </c>
      <c r="K273" s="1" t="s">
        <v>30</v>
      </c>
      <c r="L273" s="4">
        <v>0.33329999999999999</v>
      </c>
      <c r="M273" s="4">
        <v>0.33610000000000001</v>
      </c>
      <c r="N273" s="6">
        <f t="shared" si="4"/>
        <v>2.8000000000000247E-3</v>
      </c>
    </row>
    <row r="274" spans="1:14">
      <c r="A274" s="5">
        <v>46266</v>
      </c>
      <c r="B274" s="1" t="s">
        <v>131</v>
      </c>
      <c r="C274" s="1" t="s">
        <v>64</v>
      </c>
      <c r="D274" s="1" t="s">
        <v>110</v>
      </c>
      <c r="E274" s="1" t="s">
        <v>121</v>
      </c>
      <c r="F274" s="1" t="s">
        <v>132</v>
      </c>
      <c r="G274" s="1" t="s">
        <v>117</v>
      </c>
      <c r="H274" s="1" t="s">
        <v>58</v>
      </c>
      <c r="I274" s="1" t="s">
        <v>77</v>
      </c>
      <c r="J274" s="1" t="s">
        <v>61</v>
      </c>
      <c r="K274" s="1" t="s">
        <v>30</v>
      </c>
      <c r="L274" s="4">
        <v>0.33329999999999999</v>
      </c>
      <c r="M274" s="4">
        <v>0.33629999999999999</v>
      </c>
      <c r="N274" s="6">
        <f t="shared" si="4"/>
        <v>3.0000000000000027E-3</v>
      </c>
    </row>
    <row r="275" spans="1:14">
      <c r="A275" s="5">
        <v>46296</v>
      </c>
      <c r="B275" s="1" t="s">
        <v>131</v>
      </c>
      <c r="C275" s="1" t="s">
        <v>64</v>
      </c>
      <c r="D275" s="1" t="s">
        <v>110</v>
      </c>
      <c r="E275" s="1" t="s">
        <v>121</v>
      </c>
      <c r="F275" s="1" t="s">
        <v>132</v>
      </c>
      <c r="G275" s="1" t="s">
        <v>117</v>
      </c>
      <c r="H275" s="1" t="s">
        <v>58</v>
      </c>
      <c r="I275" s="1" t="s">
        <v>77</v>
      </c>
      <c r="J275" s="1" t="s">
        <v>61</v>
      </c>
      <c r="K275" s="1" t="s">
        <v>30</v>
      </c>
      <c r="L275" s="4">
        <v>0.33329999999999999</v>
      </c>
      <c r="M275" s="4">
        <v>0.3367</v>
      </c>
      <c r="N275" s="6">
        <f t="shared" si="4"/>
        <v>3.4000000000000141E-3</v>
      </c>
    </row>
    <row r="276" spans="1:14">
      <c r="A276" s="5">
        <v>46327</v>
      </c>
      <c r="B276" s="1" t="s">
        <v>131</v>
      </c>
      <c r="C276" s="1" t="s">
        <v>64</v>
      </c>
      <c r="D276" s="1" t="s">
        <v>110</v>
      </c>
      <c r="E276" s="1" t="s">
        <v>121</v>
      </c>
      <c r="F276" s="1" t="s">
        <v>132</v>
      </c>
      <c r="G276" s="1" t="s">
        <v>117</v>
      </c>
      <c r="H276" s="1" t="s">
        <v>58</v>
      </c>
      <c r="I276" s="1" t="s">
        <v>77</v>
      </c>
      <c r="J276" s="1" t="s">
        <v>61</v>
      </c>
      <c r="K276" s="1" t="s">
        <v>30</v>
      </c>
      <c r="L276" s="4">
        <v>0.33329999999999999</v>
      </c>
      <c r="M276" s="4">
        <v>0.33710000000000001</v>
      </c>
      <c r="N276" s="6">
        <f t="shared" si="4"/>
        <v>3.8000000000000256E-3</v>
      </c>
    </row>
    <row r="277" spans="1:14">
      <c r="A277" s="5">
        <v>46357</v>
      </c>
      <c r="B277" s="1" t="s">
        <v>131</v>
      </c>
      <c r="C277" s="1" t="s">
        <v>64</v>
      </c>
      <c r="D277" s="1" t="s">
        <v>110</v>
      </c>
      <c r="E277" s="1" t="s">
        <v>121</v>
      </c>
      <c r="F277" s="1" t="s">
        <v>132</v>
      </c>
      <c r="G277" s="1" t="s">
        <v>117</v>
      </c>
      <c r="H277" s="1" t="s">
        <v>58</v>
      </c>
      <c r="I277" s="1" t="s">
        <v>77</v>
      </c>
      <c r="J277" s="1" t="s">
        <v>61</v>
      </c>
      <c r="K277" s="1" t="s">
        <v>30</v>
      </c>
      <c r="L277" s="4">
        <v>0.33350000000000002</v>
      </c>
      <c r="M277" s="4">
        <v>0.33789999999999998</v>
      </c>
      <c r="N277" s="6">
        <f t="shared" si="4"/>
        <v>4.3999999999999595E-3</v>
      </c>
    </row>
    <row r="278" spans="1:14">
      <c r="K278" t="s">
        <v>12</v>
      </c>
    </row>
    <row r="279" spans="1:14">
      <c r="K279" t="s">
        <v>12</v>
      </c>
    </row>
    <row r="280" spans="1:14">
      <c r="K280" t="s">
        <v>12</v>
      </c>
    </row>
    <row r="281" spans="1:14">
      <c r="K281" t="s">
        <v>12</v>
      </c>
    </row>
    <row r="282" spans="1:14">
      <c r="K282" t="s">
        <v>12</v>
      </c>
    </row>
    <row r="283" spans="1:14">
      <c r="K283" t="s">
        <v>12</v>
      </c>
    </row>
    <row r="284" spans="1:14">
      <c r="K284" t="s">
        <v>27</v>
      </c>
    </row>
    <row r="285" spans="1:14">
      <c r="K285" t="s">
        <v>30</v>
      </c>
    </row>
    <row r="286" spans="1:14">
      <c r="K286" t="s">
        <v>30</v>
      </c>
    </row>
    <row r="287" spans="1:14">
      <c r="K287" t="s">
        <v>30</v>
      </c>
    </row>
    <row r="288" spans="1:14">
      <c r="K288" t="s">
        <v>30</v>
      </c>
    </row>
    <row r="289" spans="11:11">
      <c r="K289" t="s">
        <v>30</v>
      </c>
    </row>
    <row r="290" spans="11:11">
      <c r="K290" t="s">
        <v>12</v>
      </c>
    </row>
    <row r="291" spans="11:11">
      <c r="K291" t="s">
        <v>12</v>
      </c>
    </row>
    <row r="292" spans="11:11">
      <c r="K292" t="s">
        <v>12</v>
      </c>
    </row>
    <row r="293" spans="11:11">
      <c r="K293" t="s">
        <v>12</v>
      </c>
    </row>
    <row r="294" spans="11:11">
      <c r="K294" t="s">
        <v>12</v>
      </c>
    </row>
    <row r="295" spans="11:11">
      <c r="K295" t="s">
        <v>12</v>
      </c>
    </row>
    <row r="296" spans="11:11">
      <c r="K296" t="s">
        <v>27</v>
      </c>
    </row>
    <row r="297" spans="11:11">
      <c r="K297" t="s">
        <v>30</v>
      </c>
    </row>
    <row r="298" spans="11:11">
      <c r="K298" t="s">
        <v>30</v>
      </c>
    </row>
    <row r="299" spans="11:11">
      <c r="K299" t="s">
        <v>30</v>
      </c>
    </row>
    <row r="300" spans="11:11">
      <c r="K300" t="s">
        <v>30</v>
      </c>
    </row>
    <row r="301" spans="11:11">
      <c r="K301" t="s">
        <v>30</v>
      </c>
    </row>
  </sheetData>
  <conditionalFormatting sqref="N2:N277">
    <cfRule type="expression" dxfId="6" priority="1">
      <formula>N2&gt;0</formula>
    </cfRule>
    <cfRule type="expression" dxfId="5" priority="2">
      <formula>N2&lt;0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3.8"/>
  <cols>
    <col min="1" max="1" width="12.3984375" customWidth="1"/>
    <col min="2" max="2" width="13.8984375" customWidth="1"/>
    <col min="3" max="3" width="30.59765625" customWidth="1"/>
    <col min="4" max="4" width="19.59765625" customWidth="1"/>
    <col min="5" max="5" width="18.09765625" customWidth="1"/>
    <col min="6" max="6" width="48" customWidth="1"/>
  </cols>
  <sheetData>
    <row r="1" spans="1:6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</row>
    <row r="2" spans="1:6" ht="27.6">
      <c r="A2" s="1" t="s">
        <v>142</v>
      </c>
      <c r="B2" s="1" t="s">
        <v>143</v>
      </c>
      <c r="C2" s="1" t="s">
        <v>144</v>
      </c>
      <c r="D2" s="1" t="s">
        <v>145</v>
      </c>
      <c r="E2" s="1" t="s">
        <v>57</v>
      </c>
      <c r="F2" s="1" t="s">
        <v>146</v>
      </c>
    </row>
    <row r="3" spans="1:6" ht="27.6">
      <c r="A3" s="1" t="s">
        <v>147</v>
      </c>
      <c r="B3" s="1" t="s">
        <v>143</v>
      </c>
      <c r="C3" s="1" t="s">
        <v>148</v>
      </c>
      <c r="D3" s="1" t="s">
        <v>149</v>
      </c>
      <c r="E3" s="1" t="s">
        <v>57</v>
      </c>
      <c r="F3" s="1" t="s">
        <v>150</v>
      </c>
    </row>
    <row r="4" spans="1:6" ht="27.6">
      <c r="A4" s="1" t="s">
        <v>151</v>
      </c>
      <c r="B4" s="1" t="s">
        <v>152</v>
      </c>
      <c r="C4" s="1" t="s">
        <v>153</v>
      </c>
      <c r="D4" s="1" t="s">
        <v>154</v>
      </c>
      <c r="E4" s="1" t="s">
        <v>57</v>
      </c>
      <c r="F4" s="1" t="s">
        <v>155</v>
      </c>
    </row>
    <row r="5" spans="1:6" ht="27.6">
      <c r="A5" s="1" t="s">
        <v>156</v>
      </c>
      <c r="B5" s="1" t="s">
        <v>152</v>
      </c>
      <c r="C5" s="1" t="s">
        <v>157</v>
      </c>
      <c r="D5" s="1" t="s">
        <v>158</v>
      </c>
      <c r="E5" s="1" t="s">
        <v>57</v>
      </c>
      <c r="F5" s="1" t="s">
        <v>159</v>
      </c>
    </row>
    <row r="6" spans="1:6" ht="27.6">
      <c r="A6" s="1" t="s">
        <v>160</v>
      </c>
      <c r="B6" s="1" t="s">
        <v>161</v>
      </c>
      <c r="C6" s="1" t="s">
        <v>162</v>
      </c>
      <c r="D6" s="1" t="s">
        <v>163</v>
      </c>
      <c r="E6" s="1" t="s">
        <v>57</v>
      </c>
      <c r="F6" s="1" t="s">
        <v>164</v>
      </c>
    </row>
    <row r="7" spans="1:6">
      <c r="A7" s="1" t="s">
        <v>165</v>
      </c>
      <c r="B7" s="1" t="s">
        <v>166</v>
      </c>
      <c r="C7" s="1" t="s">
        <v>167</v>
      </c>
      <c r="D7" s="1" t="s">
        <v>168</v>
      </c>
      <c r="E7" s="1" t="s">
        <v>73</v>
      </c>
      <c r="F7" s="1" t="s">
        <v>169</v>
      </c>
    </row>
    <row r="8" spans="1:6" ht="27.6">
      <c r="A8" s="1" t="s">
        <v>170</v>
      </c>
      <c r="B8" s="1" t="s">
        <v>166</v>
      </c>
      <c r="C8" s="1" t="s">
        <v>171</v>
      </c>
      <c r="D8" s="1" t="s">
        <v>172</v>
      </c>
      <c r="E8" s="1" t="s">
        <v>73</v>
      </c>
      <c r="F8" s="1" t="s">
        <v>173</v>
      </c>
    </row>
    <row r="9" spans="1:6">
      <c r="A9" s="1" t="s">
        <v>174</v>
      </c>
      <c r="B9" s="1" t="s">
        <v>166</v>
      </c>
      <c r="C9" s="1" t="s">
        <v>175</v>
      </c>
      <c r="D9" s="1" t="s">
        <v>163</v>
      </c>
      <c r="E9" s="1" t="s">
        <v>73</v>
      </c>
      <c r="F9" s="1" t="s">
        <v>176</v>
      </c>
    </row>
    <row r="10" spans="1:6" ht="27.6">
      <c r="A10" s="1" t="s">
        <v>177</v>
      </c>
      <c r="B10" s="1" t="s">
        <v>178</v>
      </c>
      <c r="C10" s="1" t="s">
        <v>179</v>
      </c>
      <c r="D10" s="1" t="s">
        <v>180</v>
      </c>
      <c r="E10" s="1" t="s">
        <v>97</v>
      </c>
      <c r="F10" s="1" t="s">
        <v>181</v>
      </c>
    </row>
    <row r="11" spans="1:6" ht="27.6">
      <c r="A11" s="1" t="s">
        <v>182</v>
      </c>
      <c r="B11" s="1" t="s">
        <v>183</v>
      </c>
      <c r="C11" s="1" t="s">
        <v>184</v>
      </c>
      <c r="D11" s="1" t="s">
        <v>149</v>
      </c>
      <c r="E11" s="1" t="s">
        <v>97</v>
      </c>
      <c r="F11" s="1" t="s">
        <v>185</v>
      </c>
    </row>
    <row r="12" spans="1:6">
      <c r="A12" s="1" t="s">
        <v>186</v>
      </c>
      <c r="B12" s="1" t="s">
        <v>183</v>
      </c>
      <c r="C12" s="1" t="s">
        <v>187</v>
      </c>
      <c r="D12" s="1" t="s">
        <v>158</v>
      </c>
      <c r="E12" s="1" t="s">
        <v>97</v>
      </c>
      <c r="F12" s="1" t="s">
        <v>188</v>
      </c>
    </row>
    <row r="13" spans="1:6" ht="27.6">
      <c r="A13" s="1" t="s">
        <v>189</v>
      </c>
      <c r="B13" s="1" t="s">
        <v>183</v>
      </c>
      <c r="C13" s="1" t="s">
        <v>190</v>
      </c>
      <c r="D13" s="1" t="s">
        <v>158</v>
      </c>
      <c r="E13" s="1" t="s">
        <v>97</v>
      </c>
      <c r="F13" s="1" t="s">
        <v>191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topLeftCell="B1" workbookViewId="0">
      <selection activeCell="K1" sqref="K1:K1048576"/>
    </sheetView>
  </sheetViews>
  <sheetFormatPr defaultRowHeight="13.8"/>
  <cols>
    <col min="1" max="1" width="10.3984375" customWidth="1"/>
    <col min="2" max="2" width="10.69921875" customWidth="1"/>
    <col min="3" max="6" width="25" customWidth="1"/>
    <col min="7" max="7" width="15.5" customWidth="1"/>
    <col min="8" max="8" width="15.69921875" customWidth="1"/>
    <col min="9" max="9" width="21.3984375" customWidth="1"/>
    <col min="10" max="10" width="19" customWidth="1"/>
  </cols>
  <sheetData>
    <row r="1" spans="1:10" ht="27.6">
      <c r="A1" s="2" t="s">
        <v>2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8</v>
      </c>
      <c r="H1" s="2" t="s">
        <v>192</v>
      </c>
      <c r="I1" s="2" t="s">
        <v>193</v>
      </c>
      <c r="J1" s="2" t="s">
        <v>194</v>
      </c>
    </row>
    <row r="2" spans="1:10">
      <c r="A2" s="5">
        <v>46023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57</v>
      </c>
      <c r="G2" s="1" t="s">
        <v>12</v>
      </c>
      <c r="H2" s="7">
        <v>1000</v>
      </c>
      <c r="I2" s="7">
        <v>1000</v>
      </c>
      <c r="J2" s="8">
        <f t="shared" ref="J2:J33" si="0">I2-H2</f>
        <v>0</v>
      </c>
    </row>
    <row r="3" spans="1:10">
      <c r="A3" s="5">
        <v>46054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57</v>
      </c>
      <c r="G3" s="1" t="s">
        <v>12</v>
      </c>
      <c r="H3" s="7">
        <v>1010</v>
      </c>
      <c r="I3" s="7">
        <v>1020</v>
      </c>
      <c r="J3" s="8">
        <f t="shared" si="0"/>
        <v>10</v>
      </c>
    </row>
    <row r="4" spans="1:10">
      <c r="A4" s="5">
        <v>46082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57</v>
      </c>
      <c r="G4" s="1" t="s">
        <v>12</v>
      </c>
      <c r="H4" s="7">
        <v>1020</v>
      </c>
      <c r="I4" s="7">
        <v>1040</v>
      </c>
      <c r="J4" s="8">
        <f t="shared" si="0"/>
        <v>20</v>
      </c>
    </row>
    <row r="5" spans="1:10">
      <c r="A5" s="5">
        <v>46113</v>
      </c>
      <c r="B5" s="1" t="s">
        <v>142</v>
      </c>
      <c r="C5" s="1" t="s">
        <v>143</v>
      </c>
      <c r="D5" s="1" t="s">
        <v>144</v>
      </c>
      <c r="E5" s="1" t="s">
        <v>145</v>
      </c>
      <c r="F5" s="1" t="s">
        <v>57</v>
      </c>
      <c r="G5" s="1" t="s">
        <v>12</v>
      </c>
      <c r="H5" s="7">
        <v>1030</v>
      </c>
      <c r="I5" s="7">
        <v>1065</v>
      </c>
      <c r="J5" s="8">
        <f t="shared" si="0"/>
        <v>35</v>
      </c>
    </row>
    <row r="6" spans="1:10">
      <c r="A6" s="5">
        <v>46143</v>
      </c>
      <c r="B6" s="1" t="s">
        <v>142</v>
      </c>
      <c r="C6" s="1" t="s">
        <v>143</v>
      </c>
      <c r="D6" s="1" t="s">
        <v>144</v>
      </c>
      <c r="E6" s="1" t="s">
        <v>145</v>
      </c>
      <c r="F6" s="1" t="s">
        <v>57</v>
      </c>
      <c r="G6" s="1" t="s">
        <v>12</v>
      </c>
      <c r="H6" s="7">
        <v>1040</v>
      </c>
      <c r="I6" s="7">
        <v>1090</v>
      </c>
      <c r="J6" s="8">
        <f t="shared" si="0"/>
        <v>50</v>
      </c>
    </row>
    <row r="7" spans="1:10">
      <c r="A7" s="5">
        <v>46174</v>
      </c>
      <c r="B7" s="1" t="s">
        <v>142</v>
      </c>
      <c r="C7" s="1" t="s">
        <v>143</v>
      </c>
      <c r="D7" s="1" t="s">
        <v>144</v>
      </c>
      <c r="E7" s="1" t="s">
        <v>145</v>
      </c>
      <c r="F7" s="1" t="s">
        <v>57</v>
      </c>
      <c r="G7" s="1" t="s">
        <v>12</v>
      </c>
      <c r="H7" s="7">
        <v>1050</v>
      </c>
      <c r="I7" s="7">
        <v>1110</v>
      </c>
      <c r="J7" s="8">
        <f t="shared" si="0"/>
        <v>60</v>
      </c>
    </row>
    <row r="8" spans="1:10">
      <c r="A8" s="5">
        <v>46204</v>
      </c>
      <c r="B8" s="1" t="s">
        <v>142</v>
      </c>
      <c r="C8" s="1" t="s">
        <v>143</v>
      </c>
      <c r="D8" s="1" t="s">
        <v>144</v>
      </c>
      <c r="E8" s="1" t="s">
        <v>145</v>
      </c>
      <c r="F8" s="1" t="s">
        <v>57</v>
      </c>
      <c r="G8" s="1" t="s">
        <v>27</v>
      </c>
      <c r="H8" s="7">
        <v>1060</v>
      </c>
      <c r="I8" s="7">
        <v>1130</v>
      </c>
      <c r="J8" s="8">
        <f t="shared" si="0"/>
        <v>70</v>
      </c>
    </row>
    <row r="9" spans="1:10">
      <c r="A9" s="5">
        <v>46235</v>
      </c>
      <c r="B9" s="1" t="s">
        <v>142</v>
      </c>
      <c r="C9" s="1" t="s">
        <v>143</v>
      </c>
      <c r="D9" s="1" t="s">
        <v>144</v>
      </c>
      <c r="E9" s="1" t="s">
        <v>145</v>
      </c>
      <c r="F9" s="1" t="s">
        <v>57</v>
      </c>
      <c r="G9" s="1" t="s">
        <v>30</v>
      </c>
      <c r="H9" s="7">
        <v>1070</v>
      </c>
      <c r="I9" s="7">
        <v>1145</v>
      </c>
      <c r="J9" s="8">
        <f t="shared" si="0"/>
        <v>75</v>
      </c>
    </row>
    <row r="10" spans="1:10">
      <c r="A10" s="5">
        <v>46266</v>
      </c>
      <c r="B10" s="1" t="s">
        <v>142</v>
      </c>
      <c r="C10" s="1" t="s">
        <v>143</v>
      </c>
      <c r="D10" s="1" t="s">
        <v>144</v>
      </c>
      <c r="E10" s="1" t="s">
        <v>145</v>
      </c>
      <c r="F10" s="1" t="s">
        <v>57</v>
      </c>
      <c r="G10" s="1" t="s">
        <v>30</v>
      </c>
      <c r="H10" s="7">
        <v>1080</v>
      </c>
      <c r="I10" s="7">
        <v>1160</v>
      </c>
      <c r="J10" s="8">
        <f t="shared" si="0"/>
        <v>80</v>
      </c>
    </row>
    <row r="11" spans="1:10">
      <c r="A11" s="5">
        <v>46296</v>
      </c>
      <c r="B11" s="1" t="s">
        <v>142</v>
      </c>
      <c r="C11" s="1" t="s">
        <v>143</v>
      </c>
      <c r="D11" s="1" t="s">
        <v>144</v>
      </c>
      <c r="E11" s="1" t="s">
        <v>145</v>
      </c>
      <c r="F11" s="1" t="s">
        <v>57</v>
      </c>
      <c r="G11" s="1" t="s">
        <v>30</v>
      </c>
      <c r="H11" s="7">
        <v>1090</v>
      </c>
      <c r="I11" s="7">
        <v>1175</v>
      </c>
      <c r="J11" s="8">
        <f t="shared" si="0"/>
        <v>85</v>
      </c>
    </row>
    <row r="12" spans="1:10">
      <c r="A12" s="5">
        <v>46327</v>
      </c>
      <c r="B12" s="1" t="s">
        <v>142</v>
      </c>
      <c r="C12" s="1" t="s">
        <v>143</v>
      </c>
      <c r="D12" s="1" t="s">
        <v>144</v>
      </c>
      <c r="E12" s="1" t="s">
        <v>145</v>
      </c>
      <c r="F12" s="1" t="s">
        <v>57</v>
      </c>
      <c r="G12" s="1" t="s">
        <v>30</v>
      </c>
      <c r="H12" s="7">
        <v>1100</v>
      </c>
      <c r="I12" s="7">
        <v>1190</v>
      </c>
      <c r="J12" s="8">
        <f t="shared" si="0"/>
        <v>90</v>
      </c>
    </row>
    <row r="13" spans="1:10">
      <c r="A13" s="5">
        <v>46357</v>
      </c>
      <c r="B13" s="1" t="s">
        <v>142</v>
      </c>
      <c r="C13" s="1" t="s">
        <v>143</v>
      </c>
      <c r="D13" s="1" t="s">
        <v>144</v>
      </c>
      <c r="E13" s="1" t="s">
        <v>145</v>
      </c>
      <c r="F13" s="1" t="s">
        <v>57</v>
      </c>
      <c r="G13" s="1" t="s">
        <v>30</v>
      </c>
      <c r="H13" s="7">
        <v>1110</v>
      </c>
      <c r="I13" s="7">
        <v>1210</v>
      </c>
      <c r="J13" s="8">
        <f t="shared" si="0"/>
        <v>100</v>
      </c>
    </row>
    <row r="14" spans="1:10">
      <c r="A14" s="5">
        <v>46023</v>
      </c>
      <c r="B14" s="1" t="s">
        <v>147</v>
      </c>
      <c r="C14" s="1" t="s">
        <v>143</v>
      </c>
      <c r="D14" s="1" t="s">
        <v>148</v>
      </c>
      <c r="E14" s="1" t="s">
        <v>149</v>
      </c>
      <c r="F14" s="1" t="s">
        <v>57</v>
      </c>
      <c r="G14" s="1" t="s">
        <v>12</v>
      </c>
      <c r="H14" s="7">
        <v>100</v>
      </c>
      <c r="I14" s="7">
        <v>100</v>
      </c>
      <c r="J14" s="8">
        <f t="shared" si="0"/>
        <v>0</v>
      </c>
    </row>
    <row r="15" spans="1:10">
      <c r="A15" s="5">
        <v>46054</v>
      </c>
      <c r="B15" s="1" t="s">
        <v>147</v>
      </c>
      <c r="C15" s="1" t="s">
        <v>143</v>
      </c>
      <c r="D15" s="1" t="s">
        <v>148</v>
      </c>
      <c r="E15" s="1" t="s">
        <v>149</v>
      </c>
      <c r="F15" s="1" t="s">
        <v>57</v>
      </c>
      <c r="G15" s="1" t="s">
        <v>12</v>
      </c>
      <c r="H15" s="7">
        <v>101</v>
      </c>
      <c r="I15" s="7">
        <v>104</v>
      </c>
      <c r="J15" s="8">
        <f t="shared" si="0"/>
        <v>3</v>
      </c>
    </row>
    <row r="16" spans="1:10">
      <c r="A16" s="5">
        <v>46082</v>
      </c>
      <c r="B16" s="1" t="s">
        <v>147</v>
      </c>
      <c r="C16" s="1" t="s">
        <v>143</v>
      </c>
      <c r="D16" s="1" t="s">
        <v>148</v>
      </c>
      <c r="E16" s="1" t="s">
        <v>149</v>
      </c>
      <c r="F16" s="1" t="s">
        <v>57</v>
      </c>
      <c r="G16" s="1" t="s">
        <v>12</v>
      </c>
      <c r="H16" s="7">
        <v>102</v>
      </c>
      <c r="I16" s="7">
        <v>108</v>
      </c>
      <c r="J16" s="8">
        <f t="shared" si="0"/>
        <v>6</v>
      </c>
    </row>
    <row r="17" spans="1:10">
      <c r="A17" s="5">
        <v>46113</v>
      </c>
      <c r="B17" s="1" t="s">
        <v>147</v>
      </c>
      <c r="C17" s="1" t="s">
        <v>143</v>
      </c>
      <c r="D17" s="1" t="s">
        <v>148</v>
      </c>
      <c r="E17" s="1" t="s">
        <v>149</v>
      </c>
      <c r="F17" s="1" t="s">
        <v>57</v>
      </c>
      <c r="G17" s="1" t="s">
        <v>12</v>
      </c>
      <c r="H17" s="7">
        <v>103</v>
      </c>
      <c r="I17" s="7">
        <v>112</v>
      </c>
      <c r="J17" s="8">
        <f t="shared" si="0"/>
        <v>9</v>
      </c>
    </row>
    <row r="18" spans="1:10">
      <c r="A18" s="5">
        <v>46143</v>
      </c>
      <c r="B18" s="1" t="s">
        <v>147</v>
      </c>
      <c r="C18" s="1" t="s">
        <v>143</v>
      </c>
      <c r="D18" s="1" t="s">
        <v>148</v>
      </c>
      <c r="E18" s="1" t="s">
        <v>149</v>
      </c>
      <c r="F18" s="1" t="s">
        <v>57</v>
      </c>
      <c r="G18" s="1" t="s">
        <v>12</v>
      </c>
      <c r="H18" s="7">
        <v>104</v>
      </c>
      <c r="I18" s="7">
        <v>117</v>
      </c>
      <c r="J18" s="8">
        <f t="shared" si="0"/>
        <v>13</v>
      </c>
    </row>
    <row r="19" spans="1:10">
      <c r="A19" s="5">
        <v>46174</v>
      </c>
      <c r="B19" s="1" t="s">
        <v>147</v>
      </c>
      <c r="C19" s="1" t="s">
        <v>143</v>
      </c>
      <c r="D19" s="1" t="s">
        <v>148</v>
      </c>
      <c r="E19" s="1" t="s">
        <v>149</v>
      </c>
      <c r="F19" s="1" t="s">
        <v>57</v>
      </c>
      <c r="G19" s="1" t="s">
        <v>12</v>
      </c>
      <c r="H19" s="7">
        <v>105</v>
      </c>
      <c r="I19" s="7">
        <v>121</v>
      </c>
      <c r="J19" s="8">
        <f t="shared" si="0"/>
        <v>16</v>
      </c>
    </row>
    <row r="20" spans="1:10">
      <c r="A20" s="5">
        <v>46204</v>
      </c>
      <c r="B20" s="1" t="s">
        <v>147</v>
      </c>
      <c r="C20" s="1" t="s">
        <v>143</v>
      </c>
      <c r="D20" s="1" t="s">
        <v>148</v>
      </c>
      <c r="E20" s="1" t="s">
        <v>149</v>
      </c>
      <c r="F20" s="1" t="s">
        <v>57</v>
      </c>
      <c r="G20" s="1" t="s">
        <v>27</v>
      </c>
      <c r="H20" s="7">
        <v>106</v>
      </c>
      <c r="I20" s="7">
        <v>125</v>
      </c>
      <c r="J20" s="8">
        <f t="shared" si="0"/>
        <v>19</v>
      </c>
    </row>
    <row r="21" spans="1:10">
      <c r="A21" s="5">
        <v>46235</v>
      </c>
      <c r="B21" s="1" t="s">
        <v>147</v>
      </c>
      <c r="C21" s="1" t="s">
        <v>143</v>
      </c>
      <c r="D21" s="1" t="s">
        <v>148</v>
      </c>
      <c r="E21" s="1" t="s">
        <v>149</v>
      </c>
      <c r="F21" s="1" t="s">
        <v>57</v>
      </c>
      <c r="G21" s="1" t="s">
        <v>30</v>
      </c>
      <c r="H21" s="7">
        <v>107</v>
      </c>
      <c r="I21" s="7">
        <v>129</v>
      </c>
      <c r="J21" s="8">
        <f t="shared" si="0"/>
        <v>22</v>
      </c>
    </row>
    <row r="22" spans="1:10">
      <c r="A22" s="5">
        <v>46266</v>
      </c>
      <c r="B22" s="1" t="s">
        <v>147</v>
      </c>
      <c r="C22" s="1" t="s">
        <v>143</v>
      </c>
      <c r="D22" s="1" t="s">
        <v>148</v>
      </c>
      <c r="E22" s="1" t="s">
        <v>149</v>
      </c>
      <c r="F22" s="1" t="s">
        <v>57</v>
      </c>
      <c r="G22" s="1" t="s">
        <v>30</v>
      </c>
      <c r="H22" s="7">
        <v>108</v>
      </c>
      <c r="I22" s="7">
        <v>133</v>
      </c>
      <c r="J22" s="8">
        <f t="shared" si="0"/>
        <v>25</v>
      </c>
    </row>
    <row r="23" spans="1:10">
      <c r="A23" s="5">
        <v>46296</v>
      </c>
      <c r="B23" s="1" t="s">
        <v>147</v>
      </c>
      <c r="C23" s="1" t="s">
        <v>143</v>
      </c>
      <c r="D23" s="1" t="s">
        <v>148</v>
      </c>
      <c r="E23" s="1" t="s">
        <v>149</v>
      </c>
      <c r="F23" s="1" t="s">
        <v>57</v>
      </c>
      <c r="G23" s="1" t="s">
        <v>30</v>
      </c>
      <c r="H23" s="7">
        <v>109</v>
      </c>
      <c r="I23" s="7">
        <v>137</v>
      </c>
      <c r="J23" s="8">
        <f t="shared" si="0"/>
        <v>28</v>
      </c>
    </row>
    <row r="24" spans="1:10">
      <c r="A24" s="5">
        <v>46327</v>
      </c>
      <c r="B24" s="1" t="s">
        <v>147</v>
      </c>
      <c r="C24" s="1" t="s">
        <v>143</v>
      </c>
      <c r="D24" s="1" t="s">
        <v>148</v>
      </c>
      <c r="E24" s="1" t="s">
        <v>149</v>
      </c>
      <c r="F24" s="1" t="s">
        <v>57</v>
      </c>
      <c r="G24" s="1" t="s">
        <v>30</v>
      </c>
      <c r="H24" s="7">
        <v>110</v>
      </c>
      <c r="I24" s="7">
        <v>141</v>
      </c>
      <c r="J24" s="8">
        <f t="shared" si="0"/>
        <v>31</v>
      </c>
    </row>
    <row r="25" spans="1:10">
      <c r="A25" s="5">
        <v>46357</v>
      </c>
      <c r="B25" s="1" t="s">
        <v>147</v>
      </c>
      <c r="C25" s="1" t="s">
        <v>143</v>
      </c>
      <c r="D25" s="1" t="s">
        <v>148</v>
      </c>
      <c r="E25" s="1" t="s">
        <v>149</v>
      </c>
      <c r="F25" s="1" t="s">
        <v>57</v>
      </c>
      <c r="G25" s="1" t="s">
        <v>30</v>
      </c>
      <c r="H25" s="7">
        <v>111</v>
      </c>
      <c r="I25" s="7">
        <v>145</v>
      </c>
      <c r="J25" s="8">
        <f t="shared" si="0"/>
        <v>34</v>
      </c>
    </row>
    <row r="26" spans="1:10">
      <c r="A26" s="5">
        <v>46023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57</v>
      </c>
      <c r="G26" s="1" t="s">
        <v>12</v>
      </c>
      <c r="H26" s="7">
        <v>1200</v>
      </c>
      <c r="I26" s="7">
        <v>1250</v>
      </c>
      <c r="J26" s="8">
        <f t="shared" si="0"/>
        <v>50</v>
      </c>
    </row>
    <row r="27" spans="1:10">
      <c r="A27" s="5">
        <v>46054</v>
      </c>
      <c r="B27" s="1" t="s">
        <v>151</v>
      </c>
      <c r="C27" s="1" t="s">
        <v>152</v>
      </c>
      <c r="D27" s="1" t="s">
        <v>153</v>
      </c>
      <c r="E27" s="1" t="s">
        <v>154</v>
      </c>
      <c r="F27" s="1" t="s">
        <v>57</v>
      </c>
      <c r="G27" s="1" t="s">
        <v>12</v>
      </c>
      <c r="H27" s="7">
        <v>1200</v>
      </c>
      <c r="I27" s="7">
        <v>1260</v>
      </c>
      <c r="J27" s="8">
        <f t="shared" si="0"/>
        <v>60</v>
      </c>
    </row>
    <row r="28" spans="1:10">
      <c r="A28" s="5">
        <v>46082</v>
      </c>
      <c r="B28" s="1" t="s">
        <v>151</v>
      </c>
      <c r="C28" s="1" t="s">
        <v>152</v>
      </c>
      <c r="D28" s="1" t="s">
        <v>153</v>
      </c>
      <c r="E28" s="1" t="s">
        <v>154</v>
      </c>
      <c r="F28" s="1" t="s">
        <v>57</v>
      </c>
      <c r="G28" s="1" t="s">
        <v>12</v>
      </c>
      <c r="H28" s="7">
        <v>1220</v>
      </c>
      <c r="I28" s="7">
        <v>1270</v>
      </c>
      <c r="J28" s="8">
        <f t="shared" si="0"/>
        <v>50</v>
      </c>
    </row>
    <row r="29" spans="1:10">
      <c r="A29" s="5">
        <v>46113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57</v>
      </c>
      <c r="G29" s="1" t="s">
        <v>12</v>
      </c>
      <c r="H29" s="7">
        <v>1220</v>
      </c>
      <c r="I29" s="7">
        <v>1280</v>
      </c>
      <c r="J29" s="8">
        <f t="shared" si="0"/>
        <v>60</v>
      </c>
    </row>
    <row r="30" spans="1:10">
      <c r="A30" s="5">
        <v>46143</v>
      </c>
      <c r="B30" s="1" t="s">
        <v>151</v>
      </c>
      <c r="C30" s="1" t="s">
        <v>152</v>
      </c>
      <c r="D30" s="1" t="s">
        <v>153</v>
      </c>
      <c r="E30" s="1" t="s">
        <v>154</v>
      </c>
      <c r="F30" s="1" t="s">
        <v>57</v>
      </c>
      <c r="G30" s="1" t="s">
        <v>12</v>
      </c>
      <c r="H30" s="7">
        <v>1240</v>
      </c>
      <c r="I30" s="7">
        <v>1290</v>
      </c>
      <c r="J30" s="8">
        <f t="shared" si="0"/>
        <v>50</v>
      </c>
    </row>
    <row r="31" spans="1:10">
      <c r="A31" s="5">
        <v>46174</v>
      </c>
      <c r="B31" s="1" t="s">
        <v>151</v>
      </c>
      <c r="C31" s="1" t="s">
        <v>152</v>
      </c>
      <c r="D31" s="1" t="s">
        <v>153</v>
      </c>
      <c r="E31" s="1" t="s">
        <v>154</v>
      </c>
      <c r="F31" s="1" t="s">
        <v>57</v>
      </c>
      <c r="G31" s="1" t="s">
        <v>12</v>
      </c>
      <c r="H31" s="7">
        <v>1240</v>
      </c>
      <c r="I31" s="7">
        <v>1300</v>
      </c>
      <c r="J31" s="8">
        <f t="shared" si="0"/>
        <v>60</v>
      </c>
    </row>
    <row r="32" spans="1:10">
      <c r="A32" s="5">
        <v>46204</v>
      </c>
      <c r="B32" s="1" t="s">
        <v>151</v>
      </c>
      <c r="C32" s="1" t="s">
        <v>152</v>
      </c>
      <c r="D32" s="1" t="s">
        <v>153</v>
      </c>
      <c r="E32" s="1" t="s">
        <v>154</v>
      </c>
      <c r="F32" s="1" t="s">
        <v>57</v>
      </c>
      <c r="G32" s="1" t="s">
        <v>27</v>
      </c>
      <c r="H32" s="7">
        <v>1260</v>
      </c>
      <c r="I32" s="7">
        <v>1310</v>
      </c>
      <c r="J32" s="8">
        <f t="shared" si="0"/>
        <v>50</v>
      </c>
    </row>
    <row r="33" spans="1:10">
      <c r="A33" s="5">
        <v>46235</v>
      </c>
      <c r="B33" s="1" t="s">
        <v>151</v>
      </c>
      <c r="C33" s="1" t="s">
        <v>152</v>
      </c>
      <c r="D33" s="1" t="s">
        <v>153</v>
      </c>
      <c r="E33" s="1" t="s">
        <v>154</v>
      </c>
      <c r="F33" s="1" t="s">
        <v>57</v>
      </c>
      <c r="G33" s="1" t="s">
        <v>30</v>
      </c>
      <c r="H33" s="7">
        <v>1260</v>
      </c>
      <c r="I33" s="7">
        <v>1320</v>
      </c>
      <c r="J33" s="8">
        <f t="shared" si="0"/>
        <v>60</v>
      </c>
    </row>
    <row r="34" spans="1:10">
      <c r="A34" s="5">
        <v>46266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57</v>
      </c>
      <c r="G34" s="1" t="s">
        <v>30</v>
      </c>
      <c r="H34" s="7">
        <v>1280</v>
      </c>
      <c r="I34" s="7">
        <v>1330</v>
      </c>
      <c r="J34" s="8">
        <f t="shared" ref="J34:J65" si="1">I34-H34</f>
        <v>50</v>
      </c>
    </row>
    <row r="35" spans="1:10">
      <c r="A35" s="5">
        <v>46296</v>
      </c>
      <c r="B35" s="1" t="s">
        <v>151</v>
      </c>
      <c r="C35" s="1" t="s">
        <v>152</v>
      </c>
      <c r="D35" s="1" t="s">
        <v>153</v>
      </c>
      <c r="E35" s="1" t="s">
        <v>154</v>
      </c>
      <c r="F35" s="1" t="s">
        <v>57</v>
      </c>
      <c r="G35" s="1" t="s">
        <v>30</v>
      </c>
      <c r="H35" s="7">
        <v>1280</v>
      </c>
      <c r="I35" s="7">
        <v>1340</v>
      </c>
      <c r="J35" s="8">
        <f t="shared" si="1"/>
        <v>60</v>
      </c>
    </row>
    <row r="36" spans="1:10">
      <c r="A36" s="5">
        <v>46327</v>
      </c>
      <c r="B36" s="1" t="s">
        <v>151</v>
      </c>
      <c r="C36" s="1" t="s">
        <v>152</v>
      </c>
      <c r="D36" s="1" t="s">
        <v>153</v>
      </c>
      <c r="E36" s="1" t="s">
        <v>154</v>
      </c>
      <c r="F36" s="1" t="s">
        <v>57</v>
      </c>
      <c r="G36" s="1" t="s">
        <v>30</v>
      </c>
      <c r="H36" s="7">
        <v>1300</v>
      </c>
      <c r="I36" s="7">
        <v>1350</v>
      </c>
      <c r="J36" s="8">
        <f t="shared" si="1"/>
        <v>50</v>
      </c>
    </row>
    <row r="37" spans="1:10">
      <c r="A37" s="5">
        <v>46357</v>
      </c>
      <c r="B37" s="1" t="s">
        <v>151</v>
      </c>
      <c r="C37" s="1" t="s">
        <v>152</v>
      </c>
      <c r="D37" s="1" t="s">
        <v>153</v>
      </c>
      <c r="E37" s="1" t="s">
        <v>154</v>
      </c>
      <c r="F37" s="1" t="s">
        <v>57</v>
      </c>
      <c r="G37" s="1" t="s">
        <v>30</v>
      </c>
      <c r="H37" s="7">
        <v>1300</v>
      </c>
      <c r="I37" s="7">
        <v>1360</v>
      </c>
      <c r="J37" s="8">
        <f t="shared" si="1"/>
        <v>60</v>
      </c>
    </row>
    <row r="38" spans="1:10">
      <c r="A38" s="5">
        <v>46023</v>
      </c>
      <c r="B38" s="1" t="s">
        <v>156</v>
      </c>
      <c r="C38" s="1" t="s">
        <v>152</v>
      </c>
      <c r="D38" s="1" t="s">
        <v>157</v>
      </c>
      <c r="E38" s="1" t="s">
        <v>158</v>
      </c>
      <c r="F38" s="1" t="s">
        <v>57</v>
      </c>
      <c r="G38" s="1" t="s">
        <v>12</v>
      </c>
      <c r="H38" s="7">
        <v>90</v>
      </c>
      <c r="I38" s="7">
        <v>86</v>
      </c>
      <c r="J38" s="8">
        <f t="shared" si="1"/>
        <v>-4</v>
      </c>
    </row>
    <row r="39" spans="1:10">
      <c r="A39" s="5">
        <v>46054</v>
      </c>
      <c r="B39" s="1" t="s">
        <v>156</v>
      </c>
      <c r="C39" s="1" t="s">
        <v>152</v>
      </c>
      <c r="D39" s="1" t="s">
        <v>157</v>
      </c>
      <c r="E39" s="1" t="s">
        <v>158</v>
      </c>
      <c r="F39" s="1" t="s">
        <v>57</v>
      </c>
      <c r="G39" s="1" t="s">
        <v>12</v>
      </c>
      <c r="H39" s="7">
        <v>90</v>
      </c>
      <c r="I39" s="7">
        <v>85</v>
      </c>
      <c r="J39" s="8">
        <f t="shared" si="1"/>
        <v>-5</v>
      </c>
    </row>
    <row r="40" spans="1:10">
      <c r="A40" s="5">
        <v>46082</v>
      </c>
      <c r="B40" s="1" t="s">
        <v>156</v>
      </c>
      <c r="C40" s="1" t="s">
        <v>152</v>
      </c>
      <c r="D40" s="1" t="s">
        <v>157</v>
      </c>
      <c r="E40" s="1" t="s">
        <v>158</v>
      </c>
      <c r="F40" s="1" t="s">
        <v>57</v>
      </c>
      <c r="G40" s="1" t="s">
        <v>12</v>
      </c>
      <c r="H40" s="7">
        <v>90</v>
      </c>
      <c r="I40" s="7">
        <v>84</v>
      </c>
      <c r="J40" s="8">
        <f t="shared" si="1"/>
        <v>-6</v>
      </c>
    </row>
    <row r="41" spans="1:10">
      <c r="A41" s="5">
        <v>46113</v>
      </c>
      <c r="B41" s="1" t="s">
        <v>156</v>
      </c>
      <c r="C41" s="1" t="s">
        <v>152</v>
      </c>
      <c r="D41" s="1" t="s">
        <v>157</v>
      </c>
      <c r="E41" s="1" t="s">
        <v>158</v>
      </c>
      <c r="F41" s="1" t="s">
        <v>57</v>
      </c>
      <c r="G41" s="1" t="s">
        <v>12</v>
      </c>
      <c r="H41" s="7">
        <v>90</v>
      </c>
      <c r="I41" s="7">
        <v>83</v>
      </c>
      <c r="J41" s="8">
        <f t="shared" si="1"/>
        <v>-7</v>
      </c>
    </row>
    <row r="42" spans="1:10">
      <c r="A42" s="5">
        <v>46143</v>
      </c>
      <c r="B42" s="1" t="s">
        <v>156</v>
      </c>
      <c r="C42" s="1" t="s">
        <v>152</v>
      </c>
      <c r="D42" s="1" t="s">
        <v>157</v>
      </c>
      <c r="E42" s="1" t="s">
        <v>158</v>
      </c>
      <c r="F42" s="1" t="s">
        <v>57</v>
      </c>
      <c r="G42" s="1" t="s">
        <v>12</v>
      </c>
      <c r="H42" s="7">
        <v>90</v>
      </c>
      <c r="I42" s="7">
        <v>82</v>
      </c>
      <c r="J42" s="8">
        <f t="shared" si="1"/>
        <v>-8</v>
      </c>
    </row>
    <row r="43" spans="1:10">
      <c r="A43" s="5">
        <v>46174</v>
      </c>
      <c r="B43" s="1" t="s">
        <v>156</v>
      </c>
      <c r="C43" s="1" t="s">
        <v>152</v>
      </c>
      <c r="D43" s="1" t="s">
        <v>157</v>
      </c>
      <c r="E43" s="1" t="s">
        <v>158</v>
      </c>
      <c r="F43" s="1" t="s">
        <v>57</v>
      </c>
      <c r="G43" s="1" t="s">
        <v>12</v>
      </c>
      <c r="H43" s="7">
        <v>90</v>
      </c>
      <c r="I43" s="7">
        <v>81</v>
      </c>
      <c r="J43" s="8">
        <f t="shared" si="1"/>
        <v>-9</v>
      </c>
    </row>
    <row r="44" spans="1:10">
      <c r="A44" s="5">
        <v>46204</v>
      </c>
      <c r="B44" s="1" t="s">
        <v>156</v>
      </c>
      <c r="C44" s="1" t="s">
        <v>152</v>
      </c>
      <c r="D44" s="1" t="s">
        <v>157</v>
      </c>
      <c r="E44" s="1" t="s">
        <v>158</v>
      </c>
      <c r="F44" s="1" t="s">
        <v>57</v>
      </c>
      <c r="G44" s="1" t="s">
        <v>27</v>
      </c>
      <c r="H44" s="7">
        <v>90</v>
      </c>
      <c r="I44" s="7">
        <v>81</v>
      </c>
      <c r="J44" s="8">
        <f t="shared" si="1"/>
        <v>-9</v>
      </c>
    </row>
    <row r="45" spans="1:10">
      <c r="A45" s="5">
        <v>46235</v>
      </c>
      <c r="B45" s="1" t="s">
        <v>156</v>
      </c>
      <c r="C45" s="1" t="s">
        <v>152</v>
      </c>
      <c r="D45" s="1" t="s">
        <v>157</v>
      </c>
      <c r="E45" s="1" t="s">
        <v>158</v>
      </c>
      <c r="F45" s="1" t="s">
        <v>57</v>
      </c>
      <c r="G45" s="1" t="s">
        <v>30</v>
      </c>
      <c r="H45" s="7">
        <v>90</v>
      </c>
      <c r="I45" s="7">
        <v>80</v>
      </c>
      <c r="J45" s="8">
        <f t="shared" si="1"/>
        <v>-10</v>
      </c>
    </row>
    <row r="46" spans="1:10">
      <c r="A46" s="5">
        <v>46266</v>
      </c>
      <c r="B46" s="1" t="s">
        <v>156</v>
      </c>
      <c r="C46" s="1" t="s">
        <v>152</v>
      </c>
      <c r="D46" s="1" t="s">
        <v>157</v>
      </c>
      <c r="E46" s="1" t="s">
        <v>158</v>
      </c>
      <c r="F46" s="1" t="s">
        <v>57</v>
      </c>
      <c r="G46" s="1" t="s">
        <v>30</v>
      </c>
      <c r="H46" s="7">
        <v>90</v>
      </c>
      <c r="I46" s="7">
        <v>80</v>
      </c>
      <c r="J46" s="8">
        <f t="shared" si="1"/>
        <v>-10</v>
      </c>
    </row>
    <row r="47" spans="1:10">
      <c r="A47" s="5">
        <v>46296</v>
      </c>
      <c r="B47" s="1" t="s">
        <v>156</v>
      </c>
      <c r="C47" s="1" t="s">
        <v>152</v>
      </c>
      <c r="D47" s="1" t="s">
        <v>157</v>
      </c>
      <c r="E47" s="1" t="s">
        <v>158</v>
      </c>
      <c r="F47" s="1" t="s">
        <v>57</v>
      </c>
      <c r="G47" s="1" t="s">
        <v>30</v>
      </c>
      <c r="H47" s="7">
        <v>90</v>
      </c>
      <c r="I47" s="7">
        <v>79</v>
      </c>
      <c r="J47" s="8">
        <f t="shared" si="1"/>
        <v>-11</v>
      </c>
    </row>
    <row r="48" spans="1:10">
      <c r="A48" s="5">
        <v>46327</v>
      </c>
      <c r="B48" s="1" t="s">
        <v>156</v>
      </c>
      <c r="C48" s="1" t="s">
        <v>152</v>
      </c>
      <c r="D48" s="1" t="s">
        <v>157</v>
      </c>
      <c r="E48" s="1" t="s">
        <v>158</v>
      </c>
      <c r="F48" s="1" t="s">
        <v>57</v>
      </c>
      <c r="G48" s="1" t="s">
        <v>30</v>
      </c>
      <c r="H48" s="7">
        <v>90</v>
      </c>
      <c r="I48" s="7">
        <v>79</v>
      </c>
      <c r="J48" s="8">
        <f t="shared" si="1"/>
        <v>-11</v>
      </c>
    </row>
    <row r="49" spans="1:10">
      <c r="A49" s="5">
        <v>46357</v>
      </c>
      <c r="B49" s="1" t="s">
        <v>156</v>
      </c>
      <c r="C49" s="1" t="s">
        <v>152</v>
      </c>
      <c r="D49" s="1" t="s">
        <v>157</v>
      </c>
      <c r="E49" s="1" t="s">
        <v>158</v>
      </c>
      <c r="F49" s="1" t="s">
        <v>57</v>
      </c>
      <c r="G49" s="1" t="s">
        <v>30</v>
      </c>
      <c r="H49" s="7">
        <v>90</v>
      </c>
      <c r="I49" s="7">
        <v>78</v>
      </c>
      <c r="J49" s="8">
        <f t="shared" si="1"/>
        <v>-12</v>
      </c>
    </row>
    <row r="50" spans="1:10" ht="27.6">
      <c r="A50" s="5">
        <v>46023</v>
      </c>
      <c r="B50" s="1" t="s">
        <v>160</v>
      </c>
      <c r="C50" s="1" t="s">
        <v>161</v>
      </c>
      <c r="D50" s="1" t="s">
        <v>162</v>
      </c>
      <c r="E50" s="1" t="s">
        <v>163</v>
      </c>
      <c r="F50" s="1" t="s">
        <v>57</v>
      </c>
      <c r="G50" s="1" t="s">
        <v>12</v>
      </c>
      <c r="H50" s="7">
        <v>40</v>
      </c>
      <c r="I50" s="7">
        <v>45</v>
      </c>
      <c r="J50" s="8">
        <f t="shared" si="1"/>
        <v>5</v>
      </c>
    </row>
    <row r="51" spans="1:10" ht="27.6">
      <c r="A51" s="5">
        <v>46054</v>
      </c>
      <c r="B51" s="1" t="s">
        <v>160</v>
      </c>
      <c r="C51" s="1" t="s">
        <v>161</v>
      </c>
      <c r="D51" s="1" t="s">
        <v>162</v>
      </c>
      <c r="E51" s="1" t="s">
        <v>163</v>
      </c>
      <c r="F51" s="1" t="s">
        <v>57</v>
      </c>
      <c r="G51" s="1" t="s">
        <v>12</v>
      </c>
      <c r="H51" s="7">
        <v>40</v>
      </c>
      <c r="I51" s="7">
        <v>48</v>
      </c>
      <c r="J51" s="8">
        <f t="shared" si="1"/>
        <v>8</v>
      </c>
    </row>
    <row r="52" spans="1:10" ht="27.6">
      <c r="A52" s="5">
        <v>46082</v>
      </c>
      <c r="B52" s="1" t="s">
        <v>160</v>
      </c>
      <c r="C52" s="1" t="s">
        <v>161</v>
      </c>
      <c r="D52" s="1" t="s">
        <v>162</v>
      </c>
      <c r="E52" s="1" t="s">
        <v>163</v>
      </c>
      <c r="F52" s="1" t="s">
        <v>57</v>
      </c>
      <c r="G52" s="1" t="s">
        <v>12</v>
      </c>
      <c r="H52" s="7">
        <v>40</v>
      </c>
      <c r="I52" s="7">
        <v>52</v>
      </c>
      <c r="J52" s="8">
        <f t="shared" si="1"/>
        <v>12</v>
      </c>
    </row>
    <row r="53" spans="1:10" ht="27.6">
      <c r="A53" s="5">
        <v>46113</v>
      </c>
      <c r="B53" s="1" t="s">
        <v>160</v>
      </c>
      <c r="C53" s="1" t="s">
        <v>161</v>
      </c>
      <c r="D53" s="1" t="s">
        <v>162</v>
      </c>
      <c r="E53" s="1" t="s">
        <v>163</v>
      </c>
      <c r="F53" s="1" t="s">
        <v>57</v>
      </c>
      <c r="G53" s="1" t="s">
        <v>12</v>
      </c>
      <c r="H53" s="7">
        <v>40</v>
      </c>
      <c r="I53" s="7">
        <v>55</v>
      </c>
      <c r="J53" s="8">
        <f t="shared" si="1"/>
        <v>15</v>
      </c>
    </row>
    <row r="54" spans="1:10" ht="27.6">
      <c r="A54" s="5">
        <v>46143</v>
      </c>
      <c r="B54" s="1" t="s">
        <v>160</v>
      </c>
      <c r="C54" s="1" t="s">
        <v>161</v>
      </c>
      <c r="D54" s="1" t="s">
        <v>162</v>
      </c>
      <c r="E54" s="1" t="s">
        <v>163</v>
      </c>
      <c r="F54" s="1" t="s">
        <v>57</v>
      </c>
      <c r="G54" s="1" t="s">
        <v>12</v>
      </c>
      <c r="H54" s="7">
        <v>40</v>
      </c>
      <c r="I54" s="7">
        <v>58</v>
      </c>
      <c r="J54" s="8">
        <f t="shared" si="1"/>
        <v>18</v>
      </c>
    </row>
    <row r="55" spans="1:10" ht="27.6">
      <c r="A55" s="5">
        <v>46174</v>
      </c>
      <c r="B55" s="1" t="s">
        <v>160</v>
      </c>
      <c r="C55" s="1" t="s">
        <v>161</v>
      </c>
      <c r="D55" s="1" t="s">
        <v>162</v>
      </c>
      <c r="E55" s="1" t="s">
        <v>163</v>
      </c>
      <c r="F55" s="1" t="s">
        <v>57</v>
      </c>
      <c r="G55" s="1" t="s">
        <v>12</v>
      </c>
      <c r="H55" s="7">
        <v>40</v>
      </c>
      <c r="I55" s="7">
        <v>60</v>
      </c>
      <c r="J55" s="8">
        <f t="shared" si="1"/>
        <v>20</v>
      </c>
    </row>
    <row r="56" spans="1:10" ht="27.6">
      <c r="A56" s="5">
        <v>46204</v>
      </c>
      <c r="B56" s="1" t="s">
        <v>160</v>
      </c>
      <c r="C56" s="1" t="s">
        <v>161</v>
      </c>
      <c r="D56" s="1" t="s">
        <v>162</v>
      </c>
      <c r="E56" s="1" t="s">
        <v>163</v>
      </c>
      <c r="F56" s="1" t="s">
        <v>57</v>
      </c>
      <c r="G56" s="1" t="s">
        <v>27</v>
      </c>
      <c r="H56" s="7">
        <v>40</v>
      </c>
      <c r="I56" s="7">
        <v>58</v>
      </c>
      <c r="J56" s="8">
        <f t="shared" si="1"/>
        <v>18</v>
      </c>
    </row>
    <row r="57" spans="1:10" ht="27.6">
      <c r="A57" s="5">
        <v>46235</v>
      </c>
      <c r="B57" s="1" t="s">
        <v>160</v>
      </c>
      <c r="C57" s="1" t="s">
        <v>161</v>
      </c>
      <c r="D57" s="1" t="s">
        <v>162</v>
      </c>
      <c r="E57" s="1" t="s">
        <v>163</v>
      </c>
      <c r="F57" s="1" t="s">
        <v>57</v>
      </c>
      <c r="G57" s="1" t="s">
        <v>30</v>
      </c>
      <c r="H57" s="7">
        <v>40</v>
      </c>
      <c r="I57" s="7">
        <v>56</v>
      </c>
      <c r="J57" s="8">
        <f t="shared" si="1"/>
        <v>16</v>
      </c>
    </row>
    <row r="58" spans="1:10" ht="27.6">
      <c r="A58" s="5">
        <v>46266</v>
      </c>
      <c r="B58" s="1" t="s">
        <v>160</v>
      </c>
      <c r="C58" s="1" t="s">
        <v>161</v>
      </c>
      <c r="D58" s="1" t="s">
        <v>162</v>
      </c>
      <c r="E58" s="1" t="s">
        <v>163</v>
      </c>
      <c r="F58" s="1" t="s">
        <v>57</v>
      </c>
      <c r="G58" s="1" t="s">
        <v>30</v>
      </c>
      <c r="H58" s="7">
        <v>40</v>
      </c>
      <c r="I58" s="7">
        <v>54</v>
      </c>
      <c r="J58" s="8">
        <f t="shared" si="1"/>
        <v>14</v>
      </c>
    </row>
    <row r="59" spans="1:10" ht="27.6">
      <c r="A59" s="5">
        <v>46296</v>
      </c>
      <c r="B59" s="1" t="s">
        <v>160</v>
      </c>
      <c r="C59" s="1" t="s">
        <v>161</v>
      </c>
      <c r="D59" s="1" t="s">
        <v>162</v>
      </c>
      <c r="E59" s="1" t="s">
        <v>163</v>
      </c>
      <c r="F59" s="1" t="s">
        <v>57</v>
      </c>
      <c r="G59" s="1" t="s">
        <v>30</v>
      </c>
      <c r="H59" s="7">
        <v>40</v>
      </c>
      <c r="I59" s="7">
        <v>52</v>
      </c>
      <c r="J59" s="8">
        <f t="shared" si="1"/>
        <v>12</v>
      </c>
    </row>
    <row r="60" spans="1:10" ht="27.6">
      <c r="A60" s="5">
        <v>46327</v>
      </c>
      <c r="B60" s="1" t="s">
        <v>160</v>
      </c>
      <c r="C60" s="1" t="s">
        <v>161</v>
      </c>
      <c r="D60" s="1" t="s">
        <v>162</v>
      </c>
      <c r="E60" s="1" t="s">
        <v>163</v>
      </c>
      <c r="F60" s="1" t="s">
        <v>57</v>
      </c>
      <c r="G60" s="1" t="s">
        <v>30</v>
      </c>
      <c r="H60" s="7">
        <v>40</v>
      </c>
      <c r="I60" s="7">
        <v>51</v>
      </c>
      <c r="J60" s="8">
        <f t="shared" si="1"/>
        <v>11</v>
      </c>
    </row>
    <row r="61" spans="1:10" ht="27.6">
      <c r="A61" s="5">
        <v>46357</v>
      </c>
      <c r="B61" s="1" t="s">
        <v>160</v>
      </c>
      <c r="C61" s="1" t="s">
        <v>161</v>
      </c>
      <c r="D61" s="1" t="s">
        <v>162</v>
      </c>
      <c r="E61" s="1" t="s">
        <v>163</v>
      </c>
      <c r="F61" s="1" t="s">
        <v>57</v>
      </c>
      <c r="G61" s="1" t="s">
        <v>30</v>
      </c>
      <c r="H61" s="7">
        <v>40</v>
      </c>
      <c r="I61" s="7">
        <v>50</v>
      </c>
      <c r="J61" s="8">
        <f t="shared" si="1"/>
        <v>10</v>
      </c>
    </row>
    <row r="62" spans="1:10">
      <c r="A62" s="5">
        <v>46023</v>
      </c>
      <c r="B62" s="1" t="s">
        <v>165</v>
      </c>
      <c r="C62" s="1" t="s">
        <v>166</v>
      </c>
      <c r="D62" s="1" t="s">
        <v>167</v>
      </c>
      <c r="E62" s="1" t="s">
        <v>168</v>
      </c>
      <c r="F62" s="1" t="s">
        <v>73</v>
      </c>
      <c r="G62" s="1" t="s">
        <v>12</v>
      </c>
      <c r="H62" s="7">
        <v>900</v>
      </c>
      <c r="I62" s="7">
        <v>905</v>
      </c>
      <c r="J62" s="8">
        <f t="shared" si="1"/>
        <v>5</v>
      </c>
    </row>
    <row r="63" spans="1:10">
      <c r="A63" s="5">
        <v>46054</v>
      </c>
      <c r="B63" s="1" t="s">
        <v>165</v>
      </c>
      <c r="C63" s="1" t="s">
        <v>166</v>
      </c>
      <c r="D63" s="1" t="s">
        <v>167</v>
      </c>
      <c r="E63" s="1" t="s">
        <v>168</v>
      </c>
      <c r="F63" s="1" t="s">
        <v>73</v>
      </c>
      <c r="G63" s="1" t="s">
        <v>12</v>
      </c>
      <c r="H63" s="7">
        <v>905</v>
      </c>
      <c r="I63" s="7">
        <v>915</v>
      </c>
      <c r="J63" s="8">
        <f t="shared" si="1"/>
        <v>10</v>
      </c>
    </row>
    <row r="64" spans="1:10">
      <c r="A64" s="5">
        <v>46082</v>
      </c>
      <c r="B64" s="1" t="s">
        <v>165</v>
      </c>
      <c r="C64" s="1" t="s">
        <v>166</v>
      </c>
      <c r="D64" s="1" t="s">
        <v>167</v>
      </c>
      <c r="E64" s="1" t="s">
        <v>168</v>
      </c>
      <c r="F64" s="1" t="s">
        <v>73</v>
      </c>
      <c r="G64" s="1" t="s">
        <v>12</v>
      </c>
      <c r="H64" s="7">
        <v>910</v>
      </c>
      <c r="I64" s="7">
        <v>925</v>
      </c>
      <c r="J64" s="8">
        <f t="shared" si="1"/>
        <v>15</v>
      </c>
    </row>
    <row r="65" spans="1:10">
      <c r="A65" s="5">
        <v>46113</v>
      </c>
      <c r="B65" s="1" t="s">
        <v>165</v>
      </c>
      <c r="C65" s="1" t="s">
        <v>166</v>
      </c>
      <c r="D65" s="1" t="s">
        <v>167</v>
      </c>
      <c r="E65" s="1" t="s">
        <v>168</v>
      </c>
      <c r="F65" s="1" t="s">
        <v>73</v>
      </c>
      <c r="G65" s="1" t="s">
        <v>12</v>
      </c>
      <c r="H65" s="7">
        <v>915</v>
      </c>
      <c r="I65" s="7">
        <v>935</v>
      </c>
      <c r="J65" s="8">
        <f t="shared" si="1"/>
        <v>20</v>
      </c>
    </row>
    <row r="66" spans="1:10">
      <c r="A66" s="5">
        <v>46143</v>
      </c>
      <c r="B66" s="1" t="s">
        <v>165</v>
      </c>
      <c r="C66" s="1" t="s">
        <v>166</v>
      </c>
      <c r="D66" s="1" t="s">
        <v>167</v>
      </c>
      <c r="E66" s="1" t="s">
        <v>168</v>
      </c>
      <c r="F66" s="1" t="s">
        <v>73</v>
      </c>
      <c r="G66" s="1" t="s">
        <v>12</v>
      </c>
      <c r="H66" s="7">
        <v>920</v>
      </c>
      <c r="I66" s="7">
        <v>945</v>
      </c>
      <c r="J66" s="8">
        <f t="shared" ref="J66:J97" si="2">I66-H66</f>
        <v>25</v>
      </c>
    </row>
    <row r="67" spans="1:10">
      <c r="A67" s="5">
        <v>46174</v>
      </c>
      <c r="B67" s="1" t="s">
        <v>165</v>
      </c>
      <c r="C67" s="1" t="s">
        <v>166</v>
      </c>
      <c r="D67" s="1" t="s">
        <v>167</v>
      </c>
      <c r="E67" s="1" t="s">
        <v>168</v>
      </c>
      <c r="F67" s="1" t="s">
        <v>73</v>
      </c>
      <c r="G67" s="1" t="s">
        <v>12</v>
      </c>
      <c r="H67" s="7">
        <v>925</v>
      </c>
      <c r="I67" s="7">
        <v>955</v>
      </c>
      <c r="J67" s="8">
        <f t="shared" si="2"/>
        <v>30</v>
      </c>
    </row>
    <row r="68" spans="1:10">
      <c r="A68" s="5">
        <v>46204</v>
      </c>
      <c r="B68" s="1" t="s">
        <v>165</v>
      </c>
      <c r="C68" s="1" t="s">
        <v>166</v>
      </c>
      <c r="D68" s="1" t="s">
        <v>167</v>
      </c>
      <c r="E68" s="1" t="s">
        <v>168</v>
      </c>
      <c r="F68" s="1" t="s">
        <v>73</v>
      </c>
      <c r="G68" s="1" t="s">
        <v>27</v>
      </c>
      <c r="H68" s="7">
        <v>930</v>
      </c>
      <c r="I68" s="7">
        <v>960</v>
      </c>
      <c r="J68" s="8">
        <f t="shared" si="2"/>
        <v>30</v>
      </c>
    </row>
    <row r="69" spans="1:10">
      <c r="A69" s="5">
        <v>46235</v>
      </c>
      <c r="B69" s="1" t="s">
        <v>165</v>
      </c>
      <c r="C69" s="1" t="s">
        <v>166</v>
      </c>
      <c r="D69" s="1" t="s">
        <v>167</v>
      </c>
      <c r="E69" s="1" t="s">
        <v>168</v>
      </c>
      <c r="F69" s="1" t="s">
        <v>73</v>
      </c>
      <c r="G69" s="1" t="s">
        <v>30</v>
      </c>
      <c r="H69" s="7">
        <v>935</v>
      </c>
      <c r="I69" s="7">
        <v>962</v>
      </c>
      <c r="J69" s="8">
        <f t="shared" si="2"/>
        <v>27</v>
      </c>
    </row>
    <row r="70" spans="1:10">
      <c r="A70" s="5">
        <v>46266</v>
      </c>
      <c r="B70" s="1" t="s">
        <v>165</v>
      </c>
      <c r="C70" s="1" t="s">
        <v>166</v>
      </c>
      <c r="D70" s="1" t="s">
        <v>167</v>
      </c>
      <c r="E70" s="1" t="s">
        <v>168</v>
      </c>
      <c r="F70" s="1" t="s">
        <v>73</v>
      </c>
      <c r="G70" s="1" t="s">
        <v>30</v>
      </c>
      <c r="H70" s="7">
        <v>940</v>
      </c>
      <c r="I70" s="7">
        <v>964</v>
      </c>
      <c r="J70" s="8">
        <f t="shared" si="2"/>
        <v>24</v>
      </c>
    </row>
    <row r="71" spans="1:10">
      <c r="A71" s="5">
        <v>46296</v>
      </c>
      <c r="B71" s="1" t="s">
        <v>165</v>
      </c>
      <c r="C71" s="1" t="s">
        <v>166</v>
      </c>
      <c r="D71" s="1" t="s">
        <v>167</v>
      </c>
      <c r="E71" s="1" t="s">
        <v>168</v>
      </c>
      <c r="F71" s="1" t="s">
        <v>73</v>
      </c>
      <c r="G71" s="1" t="s">
        <v>30</v>
      </c>
      <c r="H71" s="7">
        <v>945</v>
      </c>
      <c r="I71" s="7">
        <v>966</v>
      </c>
      <c r="J71" s="8">
        <f t="shared" si="2"/>
        <v>21</v>
      </c>
    </row>
    <row r="72" spans="1:10">
      <c r="A72" s="5">
        <v>46327</v>
      </c>
      <c r="B72" s="1" t="s">
        <v>165</v>
      </c>
      <c r="C72" s="1" t="s">
        <v>166</v>
      </c>
      <c r="D72" s="1" t="s">
        <v>167</v>
      </c>
      <c r="E72" s="1" t="s">
        <v>168</v>
      </c>
      <c r="F72" s="1" t="s">
        <v>73</v>
      </c>
      <c r="G72" s="1" t="s">
        <v>30</v>
      </c>
      <c r="H72" s="7">
        <v>950</v>
      </c>
      <c r="I72" s="7">
        <v>968</v>
      </c>
      <c r="J72" s="8">
        <f t="shared" si="2"/>
        <v>18</v>
      </c>
    </row>
    <row r="73" spans="1:10">
      <c r="A73" s="5">
        <v>46357</v>
      </c>
      <c r="B73" s="1" t="s">
        <v>165</v>
      </c>
      <c r="C73" s="1" t="s">
        <v>166</v>
      </c>
      <c r="D73" s="1" t="s">
        <v>167</v>
      </c>
      <c r="E73" s="1" t="s">
        <v>168</v>
      </c>
      <c r="F73" s="1" t="s">
        <v>73</v>
      </c>
      <c r="G73" s="1" t="s">
        <v>30</v>
      </c>
      <c r="H73" s="7">
        <v>955</v>
      </c>
      <c r="I73" s="7">
        <v>970</v>
      </c>
      <c r="J73" s="8">
        <f t="shared" si="2"/>
        <v>15</v>
      </c>
    </row>
    <row r="74" spans="1:10">
      <c r="A74" s="5">
        <v>46023</v>
      </c>
      <c r="B74" s="1" t="s">
        <v>170</v>
      </c>
      <c r="C74" s="1" t="s">
        <v>166</v>
      </c>
      <c r="D74" s="1" t="s">
        <v>171</v>
      </c>
      <c r="E74" s="1" t="s">
        <v>172</v>
      </c>
      <c r="F74" s="1" t="s">
        <v>73</v>
      </c>
      <c r="G74" s="1" t="s">
        <v>12</v>
      </c>
      <c r="H74" s="7">
        <v>8000</v>
      </c>
      <c r="I74" s="7">
        <v>8200</v>
      </c>
      <c r="J74" s="8">
        <f t="shared" si="2"/>
        <v>200</v>
      </c>
    </row>
    <row r="75" spans="1:10">
      <c r="A75" s="5">
        <v>46054</v>
      </c>
      <c r="B75" s="1" t="s">
        <v>170</v>
      </c>
      <c r="C75" s="1" t="s">
        <v>166</v>
      </c>
      <c r="D75" s="1" t="s">
        <v>171</v>
      </c>
      <c r="E75" s="1" t="s">
        <v>172</v>
      </c>
      <c r="F75" s="1" t="s">
        <v>73</v>
      </c>
      <c r="G75" s="1" t="s">
        <v>12</v>
      </c>
      <c r="H75" s="7">
        <v>8000</v>
      </c>
      <c r="I75" s="7">
        <v>9000</v>
      </c>
      <c r="J75" s="8">
        <f t="shared" si="2"/>
        <v>1000</v>
      </c>
    </row>
    <row r="76" spans="1:10">
      <c r="A76" s="5">
        <v>46082</v>
      </c>
      <c r="B76" s="1" t="s">
        <v>170</v>
      </c>
      <c r="C76" s="1" t="s">
        <v>166</v>
      </c>
      <c r="D76" s="1" t="s">
        <v>171</v>
      </c>
      <c r="E76" s="1" t="s">
        <v>172</v>
      </c>
      <c r="F76" s="1" t="s">
        <v>73</v>
      </c>
      <c r="G76" s="1" t="s">
        <v>12</v>
      </c>
      <c r="H76" s="7">
        <v>8200</v>
      </c>
      <c r="I76" s="7">
        <v>9800</v>
      </c>
      <c r="J76" s="8">
        <f t="shared" si="2"/>
        <v>1600</v>
      </c>
    </row>
    <row r="77" spans="1:10">
      <c r="A77" s="5">
        <v>46113</v>
      </c>
      <c r="B77" s="1" t="s">
        <v>170</v>
      </c>
      <c r="C77" s="1" t="s">
        <v>166</v>
      </c>
      <c r="D77" s="1" t="s">
        <v>171</v>
      </c>
      <c r="E77" s="1" t="s">
        <v>172</v>
      </c>
      <c r="F77" s="1" t="s">
        <v>73</v>
      </c>
      <c r="G77" s="1" t="s">
        <v>12</v>
      </c>
      <c r="H77" s="7">
        <v>8200</v>
      </c>
      <c r="I77" s="7">
        <v>10800</v>
      </c>
      <c r="J77" s="8">
        <f t="shared" si="2"/>
        <v>2600</v>
      </c>
    </row>
    <row r="78" spans="1:10">
      <c r="A78" s="5">
        <v>46143</v>
      </c>
      <c r="B78" s="1" t="s">
        <v>170</v>
      </c>
      <c r="C78" s="1" t="s">
        <v>166</v>
      </c>
      <c r="D78" s="1" t="s">
        <v>171</v>
      </c>
      <c r="E78" s="1" t="s">
        <v>172</v>
      </c>
      <c r="F78" s="1" t="s">
        <v>73</v>
      </c>
      <c r="G78" s="1" t="s">
        <v>12</v>
      </c>
      <c r="H78" s="7">
        <v>8400</v>
      </c>
      <c r="I78" s="7">
        <v>11800</v>
      </c>
      <c r="J78" s="8">
        <f t="shared" si="2"/>
        <v>3400</v>
      </c>
    </row>
    <row r="79" spans="1:10">
      <c r="A79" s="5">
        <v>46174</v>
      </c>
      <c r="B79" s="1" t="s">
        <v>170</v>
      </c>
      <c r="C79" s="1" t="s">
        <v>166</v>
      </c>
      <c r="D79" s="1" t="s">
        <v>171</v>
      </c>
      <c r="E79" s="1" t="s">
        <v>172</v>
      </c>
      <c r="F79" s="1" t="s">
        <v>73</v>
      </c>
      <c r="G79" s="1" t="s">
        <v>12</v>
      </c>
      <c r="H79" s="7">
        <v>8400</v>
      </c>
      <c r="I79" s="7">
        <v>12800</v>
      </c>
      <c r="J79" s="8">
        <f t="shared" si="2"/>
        <v>4400</v>
      </c>
    </row>
    <row r="80" spans="1:10">
      <c r="A80" s="5">
        <v>46204</v>
      </c>
      <c r="B80" s="1" t="s">
        <v>170</v>
      </c>
      <c r="C80" s="1" t="s">
        <v>166</v>
      </c>
      <c r="D80" s="1" t="s">
        <v>171</v>
      </c>
      <c r="E80" s="1" t="s">
        <v>172</v>
      </c>
      <c r="F80" s="1" t="s">
        <v>73</v>
      </c>
      <c r="G80" s="1" t="s">
        <v>27</v>
      </c>
      <c r="H80" s="7">
        <v>8500</v>
      </c>
      <c r="I80" s="7">
        <v>12500</v>
      </c>
      <c r="J80" s="8">
        <f t="shared" si="2"/>
        <v>4000</v>
      </c>
    </row>
    <row r="81" spans="1:10">
      <c r="A81" s="5">
        <v>46235</v>
      </c>
      <c r="B81" s="1" t="s">
        <v>170</v>
      </c>
      <c r="C81" s="1" t="s">
        <v>166</v>
      </c>
      <c r="D81" s="1" t="s">
        <v>171</v>
      </c>
      <c r="E81" s="1" t="s">
        <v>172</v>
      </c>
      <c r="F81" s="1" t="s">
        <v>73</v>
      </c>
      <c r="G81" s="1" t="s">
        <v>30</v>
      </c>
      <c r="H81" s="7">
        <v>8500</v>
      </c>
      <c r="I81" s="7">
        <v>12000</v>
      </c>
      <c r="J81" s="8">
        <f t="shared" si="2"/>
        <v>3500</v>
      </c>
    </row>
    <row r="82" spans="1:10">
      <c r="A82" s="5">
        <v>46266</v>
      </c>
      <c r="B82" s="1" t="s">
        <v>170</v>
      </c>
      <c r="C82" s="1" t="s">
        <v>166</v>
      </c>
      <c r="D82" s="1" t="s">
        <v>171</v>
      </c>
      <c r="E82" s="1" t="s">
        <v>172</v>
      </c>
      <c r="F82" s="1" t="s">
        <v>73</v>
      </c>
      <c r="G82" s="1" t="s">
        <v>30</v>
      </c>
      <c r="H82" s="7">
        <v>8600</v>
      </c>
      <c r="I82" s="7">
        <v>11500</v>
      </c>
      <c r="J82" s="8">
        <f t="shared" si="2"/>
        <v>2900</v>
      </c>
    </row>
    <row r="83" spans="1:10">
      <c r="A83" s="5">
        <v>46296</v>
      </c>
      <c r="B83" s="1" t="s">
        <v>170</v>
      </c>
      <c r="C83" s="1" t="s">
        <v>166</v>
      </c>
      <c r="D83" s="1" t="s">
        <v>171</v>
      </c>
      <c r="E83" s="1" t="s">
        <v>172</v>
      </c>
      <c r="F83" s="1" t="s">
        <v>73</v>
      </c>
      <c r="G83" s="1" t="s">
        <v>30</v>
      </c>
      <c r="H83" s="7">
        <v>8600</v>
      </c>
      <c r="I83" s="7">
        <v>11000</v>
      </c>
      <c r="J83" s="8">
        <f t="shared" si="2"/>
        <v>2400</v>
      </c>
    </row>
    <row r="84" spans="1:10">
      <c r="A84" s="5">
        <v>46327</v>
      </c>
      <c r="B84" s="1" t="s">
        <v>170</v>
      </c>
      <c r="C84" s="1" t="s">
        <v>166</v>
      </c>
      <c r="D84" s="1" t="s">
        <v>171</v>
      </c>
      <c r="E84" s="1" t="s">
        <v>172</v>
      </c>
      <c r="F84" s="1" t="s">
        <v>73</v>
      </c>
      <c r="G84" s="1" t="s">
        <v>30</v>
      </c>
      <c r="H84" s="7">
        <v>8700</v>
      </c>
      <c r="I84" s="7">
        <v>10500</v>
      </c>
      <c r="J84" s="8">
        <f t="shared" si="2"/>
        <v>1800</v>
      </c>
    </row>
    <row r="85" spans="1:10">
      <c r="A85" s="5">
        <v>46357</v>
      </c>
      <c r="B85" s="1" t="s">
        <v>170</v>
      </c>
      <c r="C85" s="1" t="s">
        <v>166</v>
      </c>
      <c r="D85" s="1" t="s">
        <v>171</v>
      </c>
      <c r="E85" s="1" t="s">
        <v>172</v>
      </c>
      <c r="F85" s="1" t="s">
        <v>73</v>
      </c>
      <c r="G85" s="1" t="s">
        <v>30</v>
      </c>
      <c r="H85" s="7">
        <v>8700</v>
      </c>
      <c r="I85" s="7">
        <v>10000</v>
      </c>
      <c r="J85" s="8">
        <f t="shared" si="2"/>
        <v>1300</v>
      </c>
    </row>
    <row r="86" spans="1:10" ht="27.6">
      <c r="A86" s="5">
        <v>46023</v>
      </c>
      <c r="B86" s="1" t="s">
        <v>174</v>
      </c>
      <c r="C86" s="1" t="s">
        <v>166</v>
      </c>
      <c r="D86" s="1" t="s">
        <v>175</v>
      </c>
      <c r="E86" s="1" t="s">
        <v>163</v>
      </c>
      <c r="F86" s="1" t="s">
        <v>73</v>
      </c>
      <c r="G86" s="1" t="s">
        <v>12</v>
      </c>
      <c r="H86" s="7">
        <v>50</v>
      </c>
      <c r="I86" s="7">
        <v>58</v>
      </c>
      <c r="J86" s="8">
        <f t="shared" si="2"/>
        <v>8</v>
      </c>
    </row>
    <row r="87" spans="1:10" ht="27.6">
      <c r="A87" s="5">
        <v>46054</v>
      </c>
      <c r="B87" s="1" t="s">
        <v>174</v>
      </c>
      <c r="C87" s="1" t="s">
        <v>166</v>
      </c>
      <c r="D87" s="1" t="s">
        <v>175</v>
      </c>
      <c r="E87" s="1" t="s">
        <v>163</v>
      </c>
      <c r="F87" s="1" t="s">
        <v>73</v>
      </c>
      <c r="G87" s="1" t="s">
        <v>12</v>
      </c>
      <c r="H87" s="7">
        <v>50</v>
      </c>
      <c r="I87" s="7">
        <v>60</v>
      </c>
      <c r="J87" s="8">
        <f t="shared" si="2"/>
        <v>10</v>
      </c>
    </row>
    <row r="88" spans="1:10" ht="27.6">
      <c r="A88" s="5">
        <v>46082</v>
      </c>
      <c r="B88" s="1" t="s">
        <v>174</v>
      </c>
      <c r="C88" s="1" t="s">
        <v>166</v>
      </c>
      <c r="D88" s="1" t="s">
        <v>175</v>
      </c>
      <c r="E88" s="1" t="s">
        <v>163</v>
      </c>
      <c r="F88" s="1" t="s">
        <v>73</v>
      </c>
      <c r="G88" s="1" t="s">
        <v>12</v>
      </c>
      <c r="H88" s="7">
        <v>50</v>
      </c>
      <c r="I88" s="7">
        <v>62</v>
      </c>
      <c r="J88" s="8">
        <f t="shared" si="2"/>
        <v>12</v>
      </c>
    </row>
    <row r="89" spans="1:10" ht="27.6">
      <c r="A89" s="5">
        <v>46113</v>
      </c>
      <c r="B89" s="1" t="s">
        <v>174</v>
      </c>
      <c r="C89" s="1" t="s">
        <v>166</v>
      </c>
      <c r="D89" s="1" t="s">
        <v>175</v>
      </c>
      <c r="E89" s="1" t="s">
        <v>163</v>
      </c>
      <c r="F89" s="1" t="s">
        <v>73</v>
      </c>
      <c r="G89" s="1" t="s">
        <v>12</v>
      </c>
      <c r="H89" s="7">
        <v>50</v>
      </c>
      <c r="I89" s="7">
        <v>65</v>
      </c>
      <c r="J89" s="8">
        <f t="shared" si="2"/>
        <v>15</v>
      </c>
    </row>
    <row r="90" spans="1:10" ht="27.6">
      <c r="A90" s="5">
        <v>46143</v>
      </c>
      <c r="B90" s="1" t="s">
        <v>174</v>
      </c>
      <c r="C90" s="1" t="s">
        <v>166</v>
      </c>
      <c r="D90" s="1" t="s">
        <v>175</v>
      </c>
      <c r="E90" s="1" t="s">
        <v>163</v>
      </c>
      <c r="F90" s="1" t="s">
        <v>73</v>
      </c>
      <c r="G90" s="1" t="s">
        <v>12</v>
      </c>
      <c r="H90" s="7">
        <v>50</v>
      </c>
      <c r="I90" s="7">
        <v>67</v>
      </c>
      <c r="J90" s="8">
        <f t="shared" si="2"/>
        <v>17</v>
      </c>
    </row>
    <row r="91" spans="1:10" ht="27.6">
      <c r="A91" s="5">
        <v>46174</v>
      </c>
      <c r="B91" s="1" t="s">
        <v>174</v>
      </c>
      <c r="C91" s="1" t="s">
        <v>166</v>
      </c>
      <c r="D91" s="1" t="s">
        <v>175</v>
      </c>
      <c r="E91" s="1" t="s">
        <v>163</v>
      </c>
      <c r="F91" s="1" t="s">
        <v>73</v>
      </c>
      <c r="G91" s="1" t="s">
        <v>12</v>
      </c>
      <c r="H91" s="7">
        <v>50</v>
      </c>
      <c r="I91" s="7">
        <v>68</v>
      </c>
      <c r="J91" s="8">
        <f t="shared" si="2"/>
        <v>18</v>
      </c>
    </row>
    <row r="92" spans="1:10" ht="27.6">
      <c r="A92" s="5">
        <v>46204</v>
      </c>
      <c r="B92" s="1" t="s">
        <v>174</v>
      </c>
      <c r="C92" s="1" t="s">
        <v>166</v>
      </c>
      <c r="D92" s="1" t="s">
        <v>175</v>
      </c>
      <c r="E92" s="1" t="s">
        <v>163</v>
      </c>
      <c r="F92" s="1" t="s">
        <v>73</v>
      </c>
      <c r="G92" s="1" t="s">
        <v>27</v>
      </c>
      <c r="H92" s="7">
        <v>50</v>
      </c>
      <c r="I92" s="7">
        <v>67</v>
      </c>
      <c r="J92" s="8">
        <f t="shared" si="2"/>
        <v>17</v>
      </c>
    </row>
    <row r="93" spans="1:10" ht="27.6">
      <c r="A93" s="5">
        <v>46235</v>
      </c>
      <c r="B93" s="1" t="s">
        <v>174</v>
      </c>
      <c r="C93" s="1" t="s">
        <v>166</v>
      </c>
      <c r="D93" s="1" t="s">
        <v>175</v>
      </c>
      <c r="E93" s="1" t="s">
        <v>163</v>
      </c>
      <c r="F93" s="1" t="s">
        <v>73</v>
      </c>
      <c r="G93" s="1" t="s">
        <v>30</v>
      </c>
      <c r="H93" s="7">
        <v>50</v>
      </c>
      <c r="I93" s="7">
        <v>66</v>
      </c>
      <c r="J93" s="8">
        <f t="shared" si="2"/>
        <v>16</v>
      </c>
    </row>
    <row r="94" spans="1:10" ht="27.6">
      <c r="A94" s="5">
        <v>46266</v>
      </c>
      <c r="B94" s="1" t="s">
        <v>174</v>
      </c>
      <c r="C94" s="1" t="s">
        <v>166</v>
      </c>
      <c r="D94" s="1" t="s">
        <v>175</v>
      </c>
      <c r="E94" s="1" t="s">
        <v>163</v>
      </c>
      <c r="F94" s="1" t="s">
        <v>73</v>
      </c>
      <c r="G94" s="1" t="s">
        <v>30</v>
      </c>
      <c r="H94" s="7">
        <v>50</v>
      </c>
      <c r="I94" s="7">
        <v>64</v>
      </c>
      <c r="J94" s="8">
        <f t="shared" si="2"/>
        <v>14</v>
      </c>
    </row>
    <row r="95" spans="1:10" ht="27.6">
      <c r="A95" s="5">
        <v>46296</v>
      </c>
      <c r="B95" s="1" t="s">
        <v>174</v>
      </c>
      <c r="C95" s="1" t="s">
        <v>166</v>
      </c>
      <c r="D95" s="1" t="s">
        <v>175</v>
      </c>
      <c r="E95" s="1" t="s">
        <v>163</v>
      </c>
      <c r="F95" s="1" t="s">
        <v>73</v>
      </c>
      <c r="G95" s="1" t="s">
        <v>30</v>
      </c>
      <c r="H95" s="7">
        <v>50</v>
      </c>
      <c r="I95" s="7">
        <v>62</v>
      </c>
      <c r="J95" s="8">
        <f t="shared" si="2"/>
        <v>12</v>
      </c>
    </row>
    <row r="96" spans="1:10" ht="27.6">
      <c r="A96" s="5">
        <v>46327</v>
      </c>
      <c r="B96" s="1" t="s">
        <v>174</v>
      </c>
      <c r="C96" s="1" t="s">
        <v>166</v>
      </c>
      <c r="D96" s="1" t="s">
        <v>175</v>
      </c>
      <c r="E96" s="1" t="s">
        <v>163</v>
      </c>
      <c r="F96" s="1" t="s">
        <v>73</v>
      </c>
      <c r="G96" s="1" t="s">
        <v>30</v>
      </c>
      <c r="H96" s="7">
        <v>50</v>
      </c>
      <c r="I96" s="7">
        <v>60</v>
      </c>
      <c r="J96" s="8">
        <f t="shared" si="2"/>
        <v>10</v>
      </c>
    </row>
    <row r="97" spans="1:10" ht="27.6">
      <c r="A97" s="5">
        <v>46357</v>
      </c>
      <c r="B97" s="1" t="s">
        <v>174</v>
      </c>
      <c r="C97" s="1" t="s">
        <v>166</v>
      </c>
      <c r="D97" s="1" t="s">
        <v>175</v>
      </c>
      <c r="E97" s="1" t="s">
        <v>163</v>
      </c>
      <c r="F97" s="1" t="s">
        <v>73</v>
      </c>
      <c r="G97" s="1" t="s">
        <v>30</v>
      </c>
      <c r="H97" s="7">
        <v>50</v>
      </c>
      <c r="I97" s="7">
        <v>58</v>
      </c>
      <c r="J97" s="8">
        <f t="shared" si="2"/>
        <v>8</v>
      </c>
    </row>
    <row r="98" spans="1:10">
      <c r="A98" s="5">
        <v>46023</v>
      </c>
      <c r="B98" s="1" t="s">
        <v>177</v>
      </c>
      <c r="C98" s="1" t="s">
        <v>178</v>
      </c>
      <c r="D98" s="1" t="s">
        <v>179</v>
      </c>
      <c r="E98" s="1" t="s">
        <v>180</v>
      </c>
      <c r="F98" s="1" t="s">
        <v>97</v>
      </c>
      <c r="G98" s="1" t="s">
        <v>12</v>
      </c>
      <c r="H98" s="7">
        <v>5</v>
      </c>
      <c r="I98" s="7">
        <v>5</v>
      </c>
      <c r="J98" s="8">
        <f t="shared" ref="J98:J129" si="3">I98-H98</f>
        <v>0</v>
      </c>
    </row>
    <row r="99" spans="1:10">
      <c r="A99" s="5">
        <v>46054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97</v>
      </c>
      <c r="G99" s="1" t="s">
        <v>12</v>
      </c>
      <c r="H99" s="7">
        <v>5.05</v>
      </c>
      <c r="I99" s="7">
        <v>5.12</v>
      </c>
      <c r="J99" s="8">
        <f t="shared" si="3"/>
        <v>7.0000000000000284E-2</v>
      </c>
    </row>
    <row r="100" spans="1:10">
      <c r="A100" s="5">
        <v>46082</v>
      </c>
      <c r="B100" s="1" t="s">
        <v>177</v>
      </c>
      <c r="C100" s="1" t="s">
        <v>178</v>
      </c>
      <c r="D100" s="1" t="s">
        <v>179</v>
      </c>
      <c r="E100" s="1" t="s">
        <v>180</v>
      </c>
      <c r="F100" s="1" t="s">
        <v>97</v>
      </c>
      <c r="G100" s="1" t="s">
        <v>12</v>
      </c>
      <c r="H100" s="7">
        <v>5.0999999999999996</v>
      </c>
      <c r="I100" s="7">
        <v>5.22</v>
      </c>
      <c r="J100" s="8">
        <f t="shared" si="3"/>
        <v>0.12000000000000011</v>
      </c>
    </row>
    <row r="101" spans="1:10">
      <c r="A101" s="5">
        <v>46113</v>
      </c>
      <c r="B101" s="1" t="s">
        <v>177</v>
      </c>
      <c r="C101" s="1" t="s">
        <v>178</v>
      </c>
      <c r="D101" s="1" t="s">
        <v>179</v>
      </c>
      <c r="E101" s="1" t="s">
        <v>180</v>
      </c>
      <c r="F101" s="1" t="s">
        <v>97</v>
      </c>
      <c r="G101" s="1" t="s">
        <v>12</v>
      </c>
      <c r="H101" s="7">
        <v>5.15</v>
      </c>
      <c r="I101" s="7">
        <v>5.35</v>
      </c>
      <c r="J101" s="8">
        <f t="shared" si="3"/>
        <v>0.19999999999999929</v>
      </c>
    </row>
    <row r="102" spans="1:10">
      <c r="A102" s="5">
        <v>46143</v>
      </c>
      <c r="B102" s="1" t="s">
        <v>177</v>
      </c>
      <c r="C102" s="1" t="s">
        <v>178</v>
      </c>
      <c r="D102" s="1" t="s">
        <v>179</v>
      </c>
      <c r="E102" s="1" t="s">
        <v>180</v>
      </c>
      <c r="F102" s="1" t="s">
        <v>97</v>
      </c>
      <c r="G102" s="1" t="s">
        <v>12</v>
      </c>
      <c r="H102" s="7">
        <v>5.2</v>
      </c>
      <c r="I102" s="7">
        <v>5.48</v>
      </c>
      <c r="J102" s="8">
        <f t="shared" si="3"/>
        <v>0.28000000000000025</v>
      </c>
    </row>
    <row r="103" spans="1:10">
      <c r="A103" s="5">
        <v>46174</v>
      </c>
      <c r="B103" s="1" t="s">
        <v>177</v>
      </c>
      <c r="C103" s="1" t="s">
        <v>178</v>
      </c>
      <c r="D103" s="1" t="s">
        <v>179</v>
      </c>
      <c r="E103" s="1" t="s">
        <v>180</v>
      </c>
      <c r="F103" s="1" t="s">
        <v>97</v>
      </c>
      <c r="G103" s="1" t="s">
        <v>12</v>
      </c>
      <c r="H103" s="7">
        <v>5.25</v>
      </c>
      <c r="I103" s="7">
        <v>5.6</v>
      </c>
      <c r="J103" s="8">
        <f t="shared" si="3"/>
        <v>0.34999999999999964</v>
      </c>
    </row>
    <row r="104" spans="1:10">
      <c r="A104" s="5">
        <v>46204</v>
      </c>
      <c r="B104" s="1" t="s">
        <v>177</v>
      </c>
      <c r="C104" s="1" t="s">
        <v>178</v>
      </c>
      <c r="D104" s="1" t="s">
        <v>179</v>
      </c>
      <c r="E104" s="1" t="s">
        <v>180</v>
      </c>
      <c r="F104" s="1" t="s">
        <v>97</v>
      </c>
      <c r="G104" s="1" t="s">
        <v>27</v>
      </c>
      <c r="H104" s="7">
        <v>5.3</v>
      </c>
      <c r="I104" s="7">
        <v>5.66</v>
      </c>
      <c r="J104" s="8">
        <f t="shared" si="3"/>
        <v>0.36000000000000032</v>
      </c>
    </row>
    <row r="105" spans="1:10">
      <c r="A105" s="5">
        <v>46235</v>
      </c>
      <c r="B105" s="1" t="s">
        <v>177</v>
      </c>
      <c r="C105" s="1" t="s">
        <v>178</v>
      </c>
      <c r="D105" s="1" t="s">
        <v>179</v>
      </c>
      <c r="E105" s="1" t="s">
        <v>180</v>
      </c>
      <c r="F105" s="1" t="s">
        <v>97</v>
      </c>
      <c r="G105" s="1" t="s">
        <v>30</v>
      </c>
      <c r="H105" s="7">
        <v>5.35</v>
      </c>
      <c r="I105" s="7">
        <v>5.7</v>
      </c>
      <c r="J105" s="8">
        <f t="shared" si="3"/>
        <v>0.35000000000000053</v>
      </c>
    </row>
    <row r="106" spans="1:10">
      <c r="A106" s="5">
        <v>46266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97</v>
      </c>
      <c r="G106" s="1" t="s">
        <v>30</v>
      </c>
      <c r="H106" s="7">
        <v>5.4</v>
      </c>
      <c r="I106" s="7">
        <v>5.74</v>
      </c>
      <c r="J106" s="8">
        <f t="shared" si="3"/>
        <v>0.33999999999999986</v>
      </c>
    </row>
    <row r="107" spans="1:10">
      <c r="A107" s="5">
        <v>46296</v>
      </c>
      <c r="B107" s="1" t="s">
        <v>177</v>
      </c>
      <c r="C107" s="1" t="s">
        <v>178</v>
      </c>
      <c r="D107" s="1" t="s">
        <v>179</v>
      </c>
      <c r="E107" s="1" t="s">
        <v>180</v>
      </c>
      <c r="F107" s="1" t="s">
        <v>97</v>
      </c>
      <c r="G107" s="1" t="s">
        <v>30</v>
      </c>
      <c r="H107" s="7">
        <v>5.45</v>
      </c>
      <c r="I107" s="7">
        <v>5.78</v>
      </c>
      <c r="J107" s="8">
        <f t="shared" si="3"/>
        <v>0.33000000000000007</v>
      </c>
    </row>
    <row r="108" spans="1:10">
      <c r="A108" s="5">
        <v>46327</v>
      </c>
      <c r="B108" s="1" t="s">
        <v>177</v>
      </c>
      <c r="C108" s="1" t="s">
        <v>178</v>
      </c>
      <c r="D108" s="1" t="s">
        <v>179</v>
      </c>
      <c r="E108" s="1" t="s">
        <v>180</v>
      </c>
      <c r="F108" s="1" t="s">
        <v>97</v>
      </c>
      <c r="G108" s="1" t="s">
        <v>30</v>
      </c>
      <c r="H108" s="7">
        <v>5.5</v>
      </c>
      <c r="I108" s="7">
        <v>5.82</v>
      </c>
      <c r="J108" s="8">
        <f t="shared" si="3"/>
        <v>0.32000000000000028</v>
      </c>
    </row>
    <row r="109" spans="1:10">
      <c r="A109" s="5">
        <v>46357</v>
      </c>
      <c r="B109" s="1" t="s">
        <v>177</v>
      </c>
      <c r="C109" s="1" t="s">
        <v>178</v>
      </c>
      <c r="D109" s="1" t="s">
        <v>179</v>
      </c>
      <c r="E109" s="1" t="s">
        <v>180</v>
      </c>
      <c r="F109" s="1" t="s">
        <v>97</v>
      </c>
      <c r="G109" s="1" t="s">
        <v>30</v>
      </c>
      <c r="H109" s="7">
        <v>5.55</v>
      </c>
      <c r="I109" s="7">
        <v>5.86</v>
      </c>
      <c r="J109" s="8">
        <f t="shared" si="3"/>
        <v>0.3100000000000005</v>
      </c>
    </row>
    <row r="110" spans="1:10">
      <c r="A110" s="5">
        <v>46023</v>
      </c>
      <c r="B110" s="1" t="s">
        <v>182</v>
      </c>
      <c r="C110" s="1" t="s">
        <v>183</v>
      </c>
      <c r="D110" s="1" t="s">
        <v>184</v>
      </c>
      <c r="E110" s="1" t="s">
        <v>149</v>
      </c>
      <c r="F110" s="1" t="s">
        <v>97</v>
      </c>
      <c r="G110" s="1" t="s">
        <v>12</v>
      </c>
      <c r="H110" s="7">
        <v>100</v>
      </c>
      <c r="I110" s="7">
        <v>100</v>
      </c>
      <c r="J110" s="8">
        <f t="shared" si="3"/>
        <v>0</v>
      </c>
    </row>
    <row r="111" spans="1:10">
      <c r="A111" s="5">
        <v>46054</v>
      </c>
      <c r="B111" s="1" t="s">
        <v>182</v>
      </c>
      <c r="C111" s="1" t="s">
        <v>183</v>
      </c>
      <c r="D111" s="1" t="s">
        <v>184</v>
      </c>
      <c r="E111" s="1" t="s">
        <v>149</v>
      </c>
      <c r="F111" s="1" t="s">
        <v>97</v>
      </c>
      <c r="G111" s="1" t="s">
        <v>12</v>
      </c>
      <c r="H111" s="7">
        <v>100</v>
      </c>
      <c r="I111" s="7">
        <v>101</v>
      </c>
      <c r="J111" s="8">
        <f t="shared" si="3"/>
        <v>1</v>
      </c>
    </row>
    <row r="112" spans="1:10">
      <c r="A112" s="5">
        <v>46082</v>
      </c>
      <c r="B112" s="1" t="s">
        <v>182</v>
      </c>
      <c r="C112" s="1" t="s">
        <v>183</v>
      </c>
      <c r="D112" s="1" t="s">
        <v>184</v>
      </c>
      <c r="E112" s="1" t="s">
        <v>149</v>
      </c>
      <c r="F112" s="1" t="s">
        <v>97</v>
      </c>
      <c r="G112" s="1" t="s">
        <v>12</v>
      </c>
      <c r="H112" s="7">
        <v>100.5</v>
      </c>
      <c r="I112" s="7">
        <v>102</v>
      </c>
      <c r="J112" s="8">
        <f t="shared" si="3"/>
        <v>1.5</v>
      </c>
    </row>
    <row r="113" spans="1:10">
      <c r="A113" s="5">
        <v>46113</v>
      </c>
      <c r="B113" s="1" t="s">
        <v>182</v>
      </c>
      <c r="C113" s="1" t="s">
        <v>183</v>
      </c>
      <c r="D113" s="1" t="s">
        <v>184</v>
      </c>
      <c r="E113" s="1" t="s">
        <v>149</v>
      </c>
      <c r="F113" s="1" t="s">
        <v>97</v>
      </c>
      <c r="G113" s="1" t="s">
        <v>12</v>
      </c>
      <c r="H113" s="7">
        <v>100.5</v>
      </c>
      <c r="I113" s="7">
        <v>103</v>
      </c>
      <c r="J113" s="8">
        <f t="shared" si="3"/>
        <v>2.5</v>
      </c>
    </row>
    <row r="114" spans="1:10">
      <c r="A114" s="5">
        <v>46143</v>
      </c>
      <c r="B114" s="1" t="s">
        <v>182</v>
      </c>
      <c r="C114" s="1" t="s">
        <v>183</v>
      </c>
      <c r="D114" s="1" t="s">
        <v>184</v>
      </c>
      <c r="E114" s="1" t="s">
        <v>149</v>
      </c>
      <c r="F114" s="1" t="s">
        <v>97</v>
      </c>
      <c r="G114" s="1" t="s">
        <v>12</v>
      </c>
      <c r="H114" s="7">
        <v>101</v>
      </c>
      <c r="I114" s="7">
        <v>104</v>
      </c>
      <c r="J114" s="8">
        <f t="shared" si="3"/>
        <v>3</v>
      </c>
    </row>
    <row r="115" spans="1:10">
      <c r="A115" s="5">
        <v>46174</v>
      </c>
      <c r="B115" s="1" t="s">
        <v>182</v>
      </c>
      <c r="C115" s="1" t="s">
        <v>183</v>
      </c>
      <c r="D115" s="1" t="s">
        <v>184</v>
      </c>
      <c r="E115" s="1" t="s">
        <v>149</v>
      </c>
      <c r="F115" s="1" t="s">
        <v>97</v>
      </c>
      <c r="G115" s="1" t="s">
        <v>12</v>
      </c>
      <c r="H115" s="7">
        <v>101</v>
      </c>
      <c r="I115" s="7">
        <v>105</v>
      </c>
      <c r="J115" s="8">
        <f t="shared" si="3"/>
        <v>4</v>
      </c>
    </row>
    <row r="116" spans="1:10">
      <c r="A116" s="5">
        <v>46204</v>
      </c>
      <c r="B116" s="1" t="s">
        <v>182</v>
      </c>
      <c r="C116" s="1" t="s">
        <v>183</v>
      </c>
      <c r="D116" s="1" t="s">
        <v>184</v>
      </c>
      <c r="E116" s="1" t="s">
        <v>149</v>
      </c>
      <c r="F116" s="1" t="s">
        <v>97</v>
      </c>
      <c r="G116" s="1" t="s">
        <v>27</v>
      </c>
      <c r="H116" s="7">
        <v>101.5</v>
      </c>
      <c r="I116" s="7">
        <v>105</v>
      </c>
      <c r="J116" s="8">
        <f t="shared" si="3"/>
        <v>3.5</v>
      </c>
    </row>
    <row r="117" spans="1:10">
      <c r="A117" s="5">
        <v>46235</v>
      </c>
      <c r="B117" s="1" t="s">
        <v>182</v>
      </c>
      <c r="C117" s="1" t="s">
        <v>183</v>
      </c>
      <c r="D117" s="1" t="s">
        <v>184</v>
      </c>
      <c r="E117" s="1" t="s">
        <v>149</v>
      </c>
      <c r="F117" s="1" t="s">
        <v>97</v>
      </c>
      <c r="G117" s="1" t="s">
        <v>30</v>
      </c>
      <c r="H117" s="7">
        <v>101.5</v>
      </c>
      <c r="I117" s="7">
        <v>105.5</v>
      </c>
      <c r="J117" s="8">
        <f t="shared" si="3"/>
        <v>4</v>
      </c>
    </row>
    <row r="118" spans="1:10">
      <c r="A118" s="5">
        <v>46266</v>
      </c>
      <c r="B118" s="1" t="s">
        <v>182</v>
      </c>
      <c r="C118" s="1" t="s">
        <v>183</v>
      </c>
      <c r="D118" s="1" t="s">
        <v>184</v>
      </c>
      <c r="E118" s="1" t="s">
        <v>149</v>
      </c>
      <c r="F118" s="1" t="s">
        <v>97</v>
      </c>
      <c r="G118" s="1" t="s">
        <v>30</v>
      </c>
      <c r="H118" s="7">
        <v>102</v>
      </c>
      <c r="I118" s="7">
        <v>105.5</v>
      </c>
      <c r="J118" s="8">
        <f t="shared" si="3"/>
        <v>3.5</v>
      </c>
    </row>
    <row r="119" spans="1:10">
      <c r="A119" s="5">
        <v>46296</v>
      </c>
      <c r="B119" s="1" t="s">
        <v>182</v>
      </c>
      <c r="C119" s="1" t="s">
        <v>183</v>
      </c>
      <c r="D119" s="1" t="s">
        <v>184</v>
      </c>
      <c r="E119" s="1" t="s">
        <v>149</v>
      </c>
      <c r="F119" s="1" t="s">
        <v>97</v>
      </c>
      <c r="G119" s="1" t="s">
        <v>30</v>
      </c>
      <c r="H119" s="7">
        <v>102</v>
      </c>
      <c r="I119" s="7">
        <v>106</v>
      </c>
      <c r="J119" s="8">
        <f t="shared" si="3"/>
        <v>4</v>
      </c>
    </row>
    <row r="120" spans="1:10">
      <c r="A120" s="5">
        <v>46327</v>
      </c>
      <c r="B120" s="1" t="s">
        <v>182</v>
      </c>
      <c r="C120" s="1" t="s">
        <v>183</v>
      </c>
      <c r="D120" s="1" t="s">
        <v>184</v>
      </c>
      <c r="E120" s="1" t="s">
        <v>149</v>
      </c>
      <c r="F120" s="1" t="s">
        <v>97</v>
      </c>
      <c r="G120" s="1" t="s">
        <v>30</v>
      </c>
      <c r="H120" s="7">
        <v>102</v>
      </c>
      <c r="I120" s="7">
        <v>106</v>
      </c>
      <c r="J120" s="8">
        <f t="shared" si="3"/>
        <v>4</v>
      </c>
    </row>
    <row r="121" spans="1:10">
      <c r="A121" s="5">
        <v>46357</v>
      </c>
      <c r="B121" s="1" t="s">
        <v>182</v>
      </c>
      <c r="C121" s="1" t="s">
        <v>183</v>
      </c>
      <c r="D121" s="1" t="s">
        <v>184</v>
      </c>
      <c r="E121" s="1" t="s">
        <v>149</v>
      </c>
      <c r="F121" s="1" t="s">
        <v>97</v>
      </c>
      <c r="G121" s="1" t="s">
        <v>30</v>
      </c>
      <c r="H121" s="7">
        <v>102</v>
      </c>
      <c r="I121" s="7">
        <v>106</v>
      </c>
      <c r="J121" s="8">
        <f t="shared" si="3"/>
        <v>4</v>
      </c>
    </row>
    <row r="122" spans="1:10">
      <c r="A122" s="5">
        <v>46023</v>
      </c>
      <c r="B122" s="1" t="s">
        <v>186</v>
      </c>
      <c r="C122" s="1" t="s">
        <v>183</v>
      </c>
      <c r="D122" s="1" t="s">
        <v>187</v>
      </c>
      <c r="E122" s="1" t="s">
        <v>158</v>
      </c>
      <c r="F122" s="1" t="s">
        <v>97</v>
      </c>
      <c r="G122" s="1" t="s">
        <v>12</v>
      </c>
      <c r="H122" s="7">
        <v>4</v>
      </c>
      <c r="I122" s="7">
        <v>4</v>
      </c>
      <c r="J122" s="8">
        <f t="shared" si="3"/>
        <v>0</v>
      </c>
    </row>
    <row r="123" spans="1:10">
      <c r="A123" s="5">
        <v>46054</v>
      </c>
      <c r="B123" s="1" t="s">
        <v>186</v>
      </c>
      <c r="C123" s="1" t="s">
        <v>183</v>
      </c>
      <c r="D123" s="1" t="s">
        <v>187</v>
      </c>
      <c r="E123" s="1" t="s">
        <v>158</v>
      </c>
      <c r="F123" s="1" t="s">
        <v>97</v>
      </c>
      <c r="G123" s="1" t="s">
        <v>12</v>
      </c>
      <c r="H123" s="7">
        <v>4</v>
      </c>
      <c r="I123" s="7">
        <v>4</v>
      </c>
      <c r="J123" s="8">
        <f t="shared" si="3"/>
        <v>0</v>
      </c>
    </row>
    <row r="124" spans="1:10">
      <c r="A124" s="5">
        <v>46082</v>
      </c>
      <c r="B124" s="1" t="s">
        <v>186</v>
      </c>
      <c r="C124" s="1" t="s">
        <v>183</v>
      </c>
      <c r="D124" s="1" t="s">
        <v>187</v>
      </c>
      <c r="E124" s="1" t="s">
        <v>158</v>
      </c>
      <c r="F124" s="1" t="s">
        <v>97</v>
      </c>
      <c r="G124" s="1" t="s">
        <v>12</v>
      </c>
      <c r="H124" s="7">
        <v>4</v>
      </c>
      <c r="I124" s="7">
        <v>4</v>
      </c>
      <c r="J124" s="8">
        <f t="shared" si="3"/>
        <v>0</v>
      </c>
    </row>
    <row r="125" spans="1:10">
      <c r="A125" s="5">
        <v>46113</v>
      </c>
      <c r="B125" s="1" t="s">
        <v>186</v>
      </c>
      <c r="C125" s="1" t="s">
        <v>183</v>
      </c>
      <c r="D125" s="1" t="s">
        <v>187</v>
      </c>
      <c r="E125" s="1" t="s">
        <v>158</v>
      </c>
      <c r="F125" s="1" t="s">
        <v>97</v>
      </c>
      <c r="G125" s="1" t="s">
        <v>12</v>
      </c>
      <c r="H125" s="7">
        <v>4</v>
      </c>
      <c r="I125" s="7">
        <v>4</v>
      </c>
      <c r="J125" s="8">
        <f t="shared" si="3"/>
        <v>0</v>
      </c>
    </row>
    <row r="126" spans="1:10">
      <c r="A126" s="5">
        <v>46143</v>
      </c>
      <c r="B126" s="1" t="s">
        <v>186</v>
      </c>
      <c r="C126" s="1" t="s">
        <v>183</v>
      </c>
      <c r="D126" s="1" t="s">
        <v>187</v>
      </c>
      <c r="E126" s="1" t="s">
        <v>158</v>
      </c>
      <c r="F126" s="1" t="s">
        <v>97</v>
      </c>
      <c r="G126" s="1" t="s">
        <v>12</v>
      </c>
      <c r="H126" s="7">
        <v>4</v>
      </c>
      <c r="I126" s="7">
        <v>4</v>
      </c>
      <c r="J126" s="8">
        <f t="shared" si="3"/>
        <v>0</v>
      </c>
    </row>
    <row r="127" spans="1:10">
      <c r="A127" s="5">
        <v>46174</v>
      </c>
      <c r="B127" s="1" t="s">
        <v>186</v>
      </c>
      <c r="C127" s="1" t="s">
        <v>183</v>
      </c>
      <c r="D127" s="1" t="s">
        <v>187</v>
      </c>
      <c r="E127" s="1" t="s">
        <v>158</v>
      </c>
      <c r="F127" s="1" t="s">
        <v>97</v>
      </c>
      <c r="G127" s="1" t="s">
        <v>12</v>
      </c>
      <c r="H127" s="7">
        <v>4</v>
      </c>
      <c r="I127" s="7">
        <v>4</v>
      </c>
      <c r="J127" s="8">
        <f t="shared" si="3"/>
        <v>0</v>
      </c>
    </row>
    <row r="128" spans="1:10">
      <c r="A128" s="5">
        <v>46204</v>
      </c>
      <c r="B128" s="1" t="s">
        <v>186</v>
      </c>
      <c r="C128" s="1" t="s">
        <v>183</v>
      </c>
      <c r="D128" s="1" t="s">
        <v>187</v>
      </c>
      <c r="E128" s="1" t="s">
        <v>158</v>
      </c>
      <c r="F128" s="1" t="s">
        <v>97</v>
      </c>
      <c r="G128" s="1" t="s">
        <v>27</v>
      </c>
      <c r="H128" s="7">
        <v>4</v>
      </c>
      <c r="I128" s="7">
        <v>4</v>
      </c>
      <c r="J128" s="8">
        <f t="shared" si="3"/>
        <v>0</v>
      </c>
    </row>
    <row r="129" spans="1:10">
      <c r="A129" s="5">
        <v>46235</v>
      </c>
      <c r="B129" s="1" t="s">
        <v>186</v>
      </c>
      <c r="C129" s="1" t="s">
        <v>183</v>
      </c>
      <c r="D129" s="1" t="s">
        <v>187</v>
      </c>
      <c r="E129" s="1" t="s">
        <v>158</v>
      </c>
      <c r="F129" s="1" t="s">
        <v>97</v>
      </c>
      <c r="G129" s="1" t="s">
        <v>30</v>
      </c>
      <c r="H129" s="7">
        <v>4</v>
      </c>
      <c r="I129" s="7">
        <v>4</v>
      </c>
      <c r="J129" s="8">
        <f t="shared" si="3"/>
        <v>0</v>
      </c>
    </row>
    <row r="130" spans="1:10">
      <c r="A130" s="5">
        <v>46266</v>
      </c>
      <c r="B130" s="1" t="s">
        <v>186</v>
      </c>
      <c r="C130" s="1" t="s">
        <v>183</v>
      </c>
      <c r="D130" s="1" t="s">
        <v>187</v>
      </c>
      <c r="E130" s="1" t="s">
        <v>158</v>
      </c>
      <c r="F130" s="1" t="s">
        <v>97</v>
      </c>
      <c r="G130" s="1" t="s">
        <v>30</v>
      </c>
      <c r="H130" s="7">
        <v>4</v>
      </c>
      <c r="I130" s="7">
        <v>4</v>
      </c>
      <c r="J130" s="8">
        <f t="shared" ref="J130:J145" si="4">I130-H130</f>
        <v>0</v>
      </c>
    </row>
    <row r="131" spans="1:10">
      <c r="A131" s="5">
        <v>46296</v>
      </c>
      <c r="B131" s="1" t="s">
        <v>186</v>
      </c>
      <c r="C131" s="1" t="s">
        <v>183</v>
      </c>
      <c r="D131" s="1" t="s">
        <v>187</v>
      </c>
      <c r="E131" s="1" t="s">
        <v>158</v>
      </c>
      <c r="F131" s="1" t="s">
        <v>97</v>
      </c>
      <c r="G131" s="1" t="s">
        <v>30</v>
      </c>
      <c r="H131" s="7">
        <v>4</v>
      </c>
      <c r="I131" s="7">
        <v>4</v>
      </c>
      <c r="J131" s="8">
        <f t="shared" si="4"/>
        <v>0</v>
      </c>
    </row>
    <row r="132" spans="1:10">
      <c r="A132" s="5">
        <v>46327</v>
      </c>
      <c r="B132" s="1" t="s">
        <v>186</v>
      </c>
      <c r="C132" s="1" t="s">
        <v>183</v>
      </c>
      <c r="D132" s="1" t="s">
        <v>187</v>
      </c>
      <c r="E132" s="1" t="s">
        <v>158</v>
      </c>
      <c r="F132" s="1" t="s">
        <v>97</v>
      </c>
      <c r="G132" s="1" t="s">
        <v>30</v>
      </c>
      <c r="H132" s="7">
        <v>4</v>
      </c>
      <c r="I132" s="7">
        <v>4</v>
      </c>
      <c r="J132" s="8">
        <f t="shared" si="4"/>
        <v>0</v>
      </c>
    </row>
    <row r="133" spans="1:10">
      <c r="A133" s="5">
        <v>46357</v>
      </c>
      <c r="B133" s="1" t="s">
        <v>186</v>
      </c>
      <c r="C133" s="1" t="s">
        <v>183</v>
      </c>
      <c r="D133" s="1" t="s">
        <v>187</v>
      </c>
      <c r="E133" s="1" t="s">
        <v>158</v>
      </c>
      <c r="F133" s="1" t="s">
        <v>97</v>
      </c>
      <c r="G133" s="1" t="s">
        <v>30</v>
      </c>
      <c r="H133" s="7">
        <v>4</v>
      </c>
      <c r="I133" s="7">
        <v>4</v>
      </c>
      <c r="J133" s="8">
        <f t="shared" si="4"/>
        <v>0</v>
      </c>
    </row>
    <row r="134" spans="1:10">
      <c r="A134" s="5">
        <v>46023</v>
      </c>
      <c r="B134" s="1" t="s">
        <v>189</v>
      </c>
      <c r="C134" s="1" t="s">
        <v>183</v>
      </c>
      <c r="D134" s="1" t="s">
        <v>190</v>
      </c>
      <c r="E134" s="1" t="s">
        <v>158</v>
      </c>
      <c r="F134" s="1" t="s">
        <v>97</v>
      </c>
      <c r="G134" s="1" t="s">
        <v>12</v>
      </c>
      <c r="H134" s="7">
        <v>4</v>
      </c>
      <c r="I134" s="7">
        <v>4</v>
      </c>
      <c r="J134" s="8">
        <f t="shared" si="4"/>
        <v>0</v>
      </c>
    </row>
    <row r="135" spans="1:10">
      <c r="A135" s="5">
        <v>46054</v>
      </c>
      <c r="B135" s="1" t="s">
        <v>189</v>
      </c>
      <c r="C135" s="1" t="s">
        <v>183</v>
      </c>
      <c r="D135" s="1" t="s">
        <v>190</v>
      </c>
      <c r="E135" s="1" t="s">
        <v>158</v>
      </c>
      <c r="F135" s="1" t="s">
        <v>97</v>
      </c>
      <c r="G135" s="1" t="s">
        <v>12</v>
      </c>
      <c r="H135" s="7">
        <v>4</v>
      </c>
      <c r="I135" s="7">
        <v>4</v>
      </c>
      <c r="J135" s="8">
        <f t="shared" si="4"/>
        <v>0</v>
      </c>
    </row>
    <row r="136" spans="1:10">
      <c r="A136" s="5">
        <v>46082</v>
      </c>
      <c r="B136" s="1" t="s">
        <v>189</v>
      </c>
      <c r="C136" s="1" t="s">
        <v>183</v>
      </c>
      <c r="D136" s="1" t="s">
        <v>190</v>
      </c>
      <c r="E136" s="1" t="s">
        <v>158</v>
      </c>
      <c r="F136" s="1" t="s">
        <v>97</v>
      </c>
      <c r="G136" s="1" t="s">
        <v>12</v>
      </c>
      <c r="H136" s="7">
        <v>4</v>
      </c>
      <c r="I136" s="7">
        <v>4</v>
      </c>
      <c r="J136" s="8">
        <f t="shared" si="4"/>
        <v>0</v>
      </c>
    </row>
    <row r="137" spans="1:10">
      <c r="A137" s="5">
        <v>46113</v>
      </c>
      <c r="B137" s="1" t="s">
        <v>189</v>
      </c>
      <c r="C137" s="1" t="s">
        <v>183</v>
      </c>
      <c r="D137" s="1" t="s">
        <v>190</v>
      </c>
      <c r="E137" s="1" t="s">
        <v>158</v>
      </c>
      <c r="F137" s="1" t="s">
        <v>97</v>
      </c>
      <c r="G137" s="1" t="s">
        <v>12</v>
      </c>
      <c r="H137" s="7">
        <v>4</v>
      </c>
      <c r="I137" s="7">
        <v>4</v>
      </c>
      <c r="J137" s="8">
        <f t="shared" si="4"/>
        <v>0</v>
      </c>
    </row>
    <row r="138" spans="1:10">
      <c r="A138" s="5">
        <v>46143</v>
      </c>
      <c r="B138" s="1" t="s">
        <v>189</v>
      </c>
      <c r="C138" s="1" t="s">
        <v>183</v>
      </c>
      <c r="D138" s="1" t="s">
        <v>190</v>
      </c>
      <c r="E138" s="1" t="s">
        <v>158</v>
      </c>
      <c r="F138" s="1" t="s">
        <v>97</v>
      </c>
      <c r="G138" s="1" t="s">
        <v>12</v>
      </c>
      <c r="H138" s="7">
        <v>4</v>
      </c>
      <c r="I138" s="7">
        <v>2</v>
      </c>
      <c r="J138" s="8">
        <f t="shared" si="4"/>
        <v>-2</v>
      </c>
    </row>
    <row r="139" spans="1:10">
      <c r="A139" s="5">
        <v>46174</v>
      </c>
      <c r="B139" s="1" t="s">
        <v>189</v>
      </c>
      <c r="C139" s="1" t="s">
        <v>183</v>
      </c>
      <c r="D139" s="1" t="s">
        <v>190</v>
      </c>
      <c r="E139" s="1" t="s">
        <v>158</v>
      </c>
      <c r="F139" s="1" t="s">
        <v>97</v>
      </c>
      <c r="G139" s="1" t="s">
        <v>12</v>
      </c>
      <c r="H139" s="7">
        <v>4</v>
      </c>
      <c r="I139" s="7">
        <v>0</v>
      </c>
      <c r="J139" s="8">
        <f t="shared" si="4"/>
        <v>-4</v>
      </c>
    </row>
    <row r="140" spans="1:10">
      <c r="A140" s="5">
        <v>46204</v>
      </c>
      <c r="B140" s="1" t="s">
        <v>189</v>
      </c>
      <c r="C140" s="1" t="s">
        <v>183</v>
      </c>
      <c r="D140" s="1" t="s">
        <v>190</v>
      </c>
      <c r="E140" s="1" t="s">
        <v>158</v>
      </c>
      <c r="F140" s="1" t="s">
        <v>97</v>
      </c>
      <c r="G140" s="1" t="s">
        <v>27</v>
      </c>
      <c r="H140" s="7">
        <v>4</v>
      </c>
      <c r="I140" s="7">
        <v>0</v>
      </c>
      <c r="J140" s="8">
        <f t="shared" si="4"/>
        <v>-4</v>
      </c>
    </row>
    <row r="141" spans="1:10">
      <c r="A141" s="5">
        <v>46235</v>
      </c>
      <c r="B141" s="1" t="s">
        <v>189</v>
      </c>
      <c r="C141" s="1" t="s">
        <v>183</v>
      </c>
      <c r="D141" s="1" t="s">
        <v>190</v>
      </c>
      <c r="E141" s="1" t="s">
        <v>158</v>
      </c>
      <c r="F141" s="1" t="s">
        <v>97</v>
      </c>
      <c r="G141" s="1" t="s">
        <v>30</v>
      </c>
      <c r="H141" s="7">
        <v>4</v>
      </c>
      <c r="I141" s="7">
        <v>0</v>
      </c>
      <c r="J141" s="8">
        <f t="shared" si="4"/>
        <v>-4</v>
      </c>
    </row>
    <row r="142" spans="1:10">
      <c r="A142" s="5">
        <v>46266</v>
      </c>
      <c r="B142" s="1" t="s">
        <v>189</v>
      </c>
      <c r="C142" s="1" t="s">
        <v>183</v>
      </c>
      <c r="D142" s="1" t="s">
        <v>190</v>
      </c>
      <c r="E142" s="1" t="s">
        <v>158</v>
      </c>
      <c r="F142" s="1" t="s">
        <v>97</v>
      </c>
      <c r="G142" s="1" t="s">
        <v>30</v>
      </c>
      <c r="H142" s="7">
        <v>4</v>
      </c>
      <c r="I142" s="7">
        <v>0</v>
      </c>
      <c r="J142" s="8">
        <f t="shared" si="4"/>
        <v>-4</v>
      </c>
    </row>
    <row r="143" spans="1:10">
      <c r="A143" s="5">
        <v>46296</v>
      </c>
      <c r="B143" s="1" t="s">
        <v>189</v>
      </c>
      <c r="C143" s="1" t="s">
        <v>183</v>
      </c>
      <c r="D143" s="1" t="s">
        <v>190</v>
      </c>
      <c r="E143" s="1" t="s">
        <v>158</v>
      </c>
      <c r="F143" s="1" t="s">
        <v>97</v>
      </c>
      <c r="G143" s="1" t="s">
        <v>30</v>
      </c>
      <c r="H143" s="7">
        <v>4</v>
      </c>
      <c r="I143" s="7">
        <v>0</v>
      </c>
      <c r="J143" s="8">
        <f t="shared" si="4"/>
        <v>-4</v>
      </c>
    </row>
    <row r="144" spans="1:10">
      <c r="A144" s="5">
        <v>46327</v>
      </c>
      <c r="B144" s="1" t="s">
        <v>189</v>
      </c>
      <c r="C144" s="1" t="s">
        <v>183</v>
      </c>
      <c r="D144" s="1" t="s">
        <v>190</v>
      </c>
      <c r="E144" s="1" t="s">
        <v>158</v>
      </c>
      <c r="F144" s="1" t="s">
        <v>97</v>
      </c>
      <c r="G144" s="1" t="s">
        <v>30</v>
      </c>
      <c r="H144" s="7">
        <v>4</v>
      </c>
      <c r="I144" s="7">
        <v>0</v>
      </c>
      <c r="J144" s="8">
        <f t="shared" si="4"/>
        <v>-4</v>
      </c>
    </row>
    <row r="145" spans="1:10">
      <c r="A145" s="5">
        <v>46357</v>
      </c>
      <c r="B145" s="1" t="s">
        <v>189</v>
      </c>
      <c r="C145" s="1" t="s">
        <v>183</v>
      </c>
      <c r="D145" s="1" t="s">
        <v>190</v>
      </c>
      <c r="E145" s="1" t="s">
        <v>158</v>
      </c>
      <c r="F145" s="1" t="s">
        <v>97</v>
      </c>
      <c r="G145" s="1" t="s">
        <v>30</v>
      </c>
      <c r="H145" s="7">
        <v>4</v>
      </c>
      <c r="I145" s="7">
        <v>0</v>
      </c>
      <c r="J145" s="8">
        <f t="shared" si="4"/>
        <v>-4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3.8"/>
  <cols>
    <col min="1" max="1" width="12.09765625" customWidth="1"/>
    <col min="2" max="2" width="18.09765625" customWidth="1"/>
    <col min="3" max="3" width="44" customWidth="1"/>
    <col min="4" max="4" width="14.19921875" customWidth="1"/>
    <col min="5" max="5" width="15.8984375" customWidth="1"/>
    <col min="6" max="6" width="21" customWidth="1"/>
    <col min="7" max="7" width="20.09765625" customWidth="1"/>
    <col min="8" max="8" width="25.69921875" customWidth="1"/>
    <col min="9" max="9" width="44" customWidth="1"/>
  </cols>
  <sheetData>
    <row r="1" spans="1:9" ht="27.6">
      <c r="A1" s="2" t="s">
        <v>195</v>
      </c>
      <c r="B1" s="2" t="s">
        <v>45</v>
      </c>
      <c r="C1" s="2" t="s">
        <v>196</v>
      </c>
      <c r="D1" s="2" t="s">
        <v>48</v>
      </c>
      <c r="E1" s="2" t="s">
        <v>49</v>
      </c>
      <c r="F1" s="2" t="s">
        <v>197</v>
      </c>
      <c r="G1" s="2" t="s">
        <v>198</v>
      </c>
      <c r="H1" s="2" t="s">
        <v>199</v>
      </c>
      <c r="I1" s="2" t="s">
        <v>141</v>
      </c>
    </row>
    <row r="2" spans="1:9" ht="27.6">
      <c r="A2" s="1" t="s">
        <v>200</v>
      </c>
      <c r="B2" s="1" t="s">
        <v>57</v>
      </c>
      <c r="C2" s="1" t="s">
        <v>201</v>
      </c>
      <c r="D2" s="1" t="s">
        <v>60</v>
      </c>
      <c r="E2" s="1" t="s">
        <v>61</v>
      </c>
      <c r="F2" s="1" t="s">
        <v>202</v>
      </c>
      <c r="G2" s="4">
        <v>2</v>
      </c>
      <c r="H2" s="1" t="s">
        <v>59</v>
      </c>
      <c r="I2" s="1" t="s">
        <v>203</v>
      </c>
    </row>
    <row r="3" spans="1:9" ht="27.6">
      <c r="A3" s="1" t="s">
        <v>204</v>
      </c>
      <c r="B3" s="1" t="s">
        <v>57</v>
      </c>
      <c r="C3" s="1" t="s">
        <v>205</v>
      </c>
      <c r="D3" s="1" t="s">
        <v>60</v>
      </c>
      <c r="E3" s="1" t="s">
        <v>61</v>
      </c>
      <c r="F3" s="1" t="s">
        <v>206</v>
      </c>
      <c r="G3" s="4">
        <v>0.8</v>
      </c>
      <c r="H3" s="1" t="s">
        <v>59</v>
      </c>
      <c r="I3" s="1" t="s">
        <v>207</v>
      </c>
    </row>
    <row r="4" spans="1:9" ht="27.6">
      <c r="A4" s="1" t="s">
        <v>208</v>
      </c>
      <c r="B4" s="1" t="s">
        <v>57</v>
      </c>
      <c r="C4" s="1" t="s">
        <v>209</v>
      </c>
      <c r="D4" s="1" t="s">
        <v>70</v>
      </c>
      <c r="E4" s="1" t="s">
        <v>61</v>
      </c>
      <c r="F4" s="1" t="s">
        <v>160</v>
      </c>
      <c r="G4" s="4">
        <v>2.2000000000000002</v>
      </c>
      <c r="H4" s="1" t="s">
        <v>59</v>
      </c>
      <c r="I4" s="1" t="s">
        <v>210</v>
      </c>
    </row>
    <row r="5" spans="1:9" ht="27.6">
      <c r="A5" s="1" t="s">
        <v>211</v>
      </c>
      <c r="B5" s="1" t="s">
        <v>73</v>
      </c>
      <c r="C5" s="1" t="s">
        <v>212</v>
      </c>
      <c r="D5" s="1" t="s">
        <v>77</v>
      </c>
      <c r="E5" s="1" t="s">
        <v>78</v>
      </c>
      <c r="F5" s="1" t="s">
        <v>165</v>
      </c>
      <c r="G5" s="4">
        <v>0.8</v>
      </c>
      <c r="H5" s="1" t="s">
        <v>76</v>
      </c>
      <c r="I5" s="1" t="s">
        <v>213</v>
      </c>
    </row>
    <row r="6" spans="1:9" ht="27.6">
      <c r="A6" s="1" t="s">
        <v>214</v>
      </c>
      <c r="B6" s="1" t="s">
        <v>73</v>
      </c>
      <c r="C6" s="1" t="s">
        <v>215</v>
      </c>
      <c r="D6" s="1" t="s">
        <v>60</v>
      </c>
      <c r="E6" s="1" t="s">
        <v>61</v>
      </c>
      <c r="F6" s="1" t="s">
        <v>170</v>
      </c>
      <c r="G6" s="4">
        <v>0.4</v>
      </c>
      <c r="H6" s="1" t="s">
        <v>216</v>
      </c>
      <c r="I6" s="1" t="s">
        <v>217</v>
      </c>
    </row>
    <row r="7" spans="1:9" ht="27.6">
      <c r="A7" s="1" t="s">
        <v>218</v>
      </c>
      <c r="B7" s="1" t="s">
        <v>73</v>
      </c>
      <c r="C7" s="1" t="s">
        <v>219</v>
      </c>
      <c r="D7" s="1" t="s">
        <v>70</v>
      </c>
      <c r="E7" s="1" t="s">
        <v>78</v>
      </c>
      <c r="F7" s="1" t="s">
        <v>220</v>
      </c>
      <c r="G7" s="4">
        <v>0.3</v>
      </c>
      <c r="H7" s="1" t="s">
        <v>76</v>
      </c>
      <c r="I7" s="1" t="s">
        <v>221</v>
      </c>
    </row>
    <row r="8" spans="1:9" ht="27.6">
      <c r="A8" s="1" t="s">
        <v>222</v>
      </c>
      <c r="B8" s="1" t="s">
        <v>73</v>
      </c>
      <c r="C8" s="1" t="s">
        <v>223</v>
      </c>
      <c r="D8" s="1" t="s">
        <v>60</v>
      </c>
      <c r="E8" s="1" t="s">
        <v>61</v>
      </c>
      <c r="F8" s="1" t="s">
        <v>174</v>
      </c>
      <c r="G8" s="4">
        <v>0.5</v>
      </c>
      <c r="H8" s="1" t="s">
        <v>216</v>
      </c>
      <c r="I8" s="1" t="s">
        <v>224</v>
      </c>
    </row>
    <row r="9" spans="1:9" ht="27.6">
      <c r="A9" s="1" t="s">
        <v>225</v>
      </c>
      <c r="B9" s="1" t="s">
        <v>97</v>
      </c>
      <c r="C9" s="1" t="s">
        <v>226</v>
      </c>
      <c r="D9" s="1" t="s">
        <v>60</v>
      </c>
      <c r="E9" s="1" t="s">
        <v>78</v>
      </c>
      <c r="F9" s="1" t="s">
        <v>182</v>
      </c>
      <c r="G9" s="4">
        <v>0.7</v>
      </c>
      <c r="H9" s="1" t="s">
        <v>112</v>
      </c>
      <c r="I9" s="1" t="s">
        <v>227</v>
      </c>
    </row>
    <row r="10" spans="1:9" ht="27.6">
      <c r="A10" s="1" t="s">
        <v>228</v>
      </c>
      <c r="B10" s="1" t="s">
        <v>97</v>
      </c>
      <c r="C10" s="1" t="s">
        <v>229</v>
      </c>
      <c r="D10" s="1" t="s">
        <v>60</v>
      </c>
      <c r="E10" s="1" t="s">
        <v>78</v>
      </c>
      <c r="F10" s="1" t="s">
        <v>177</v>
      </c>
      <c r="G10" s="4">
        <v>0.4</v>
      </c>
      <c r="H10" s="1" t="s">
        <v>84</v>
      </c>
      <c r="I10" s="1" t="s">
        <v>230</v>
      </c>
    </row>
    <row r="11" spans="1:9" ht="27.6">
      <c r="A11" s="1" t="s">
        <v>231</v>
      </c>
      <c r="B11" s="1" t="s">
        <v>97</v>
      </c>
      <c r="C11" s="1" t="s">
        <v>232</v>
      </c>
      <c r="D11" s="1" t="s">
        <v>70</v>
      </c>
      <c r="E11" s="1" t="s">
        <v>61</v>
      </c>
      <c r="F11" s="1" t="s">
        <v>233</v>
      </c>
      <c r="G11" s="4">
        <v>0.3</v>
      </c>
      <c r="H11" s="1" t="s">
        <v>112</v>
      </c>
      <c r="I11" s="1" t="s">
        <v>234</v>
      </c>
    </row>
    <row r="12" spans="1:9" ht="27.6">
      <c r="A12" s="1" t="s">
        <v>235</v>
      </c>
      <c r="B12" s="1" t="s">
        <v>97</v>
      </c>
      <c r="C12" s="1" t="s">
        <v>236</v>
      </c>
      <c r="D12" s="1" t="s">
        <v>70</v>
      </c>
      <c r="E12" s="1" t="s">
        <v>61</v>
      </c>
      <c r="F12" s="1" t="s">
        <v>237</v>
      </c>
      <c r="G12" s="4">
        <v>0.1</v>
      </c>
      <c r="H12" s="1" t="s">
        <v>123</v>
      </c>
      <c r="I12" s="1" t="s">
        <v>238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activeCell="F16" sqref="F16"/>
    </sheetView>
  </sheetViews>
  <sheetFormatPr defaultRowHeight="13.8"/>
  <cols>
    <col min="1" max="1" width="8" customWidth="1"/>
    <col min="2" max="3" width="27" customWidth="1"/>
    <col min="4" max="4" width="17.09765625" customWidth="1"/>
    <col min="5" max="5" width="23.5" customWidth="1"/>
    <col min="6" max="6" width="15.59765625" customWidth="1"/>
    <col min="7" max="7" width="27" customWidth="1"/>
    <col min="8" max="8" width="9.09765625" customWidth="1"/>
    <col min="9" max="9" width="27" customWidth="1"/>
    <col min="10" max="10" width="9.3984375" customWidth="1"/>
    <col min="11" max="11" width="9" customWidth="1"/>
    <col min="12" max="13" width="27" customWidth="1"/>
    <col min="14" max="16" width="18" customWidth="1"/>
    <col min="17" max="17" width="14" customWidth="1"/>
    <col min="18" max="18" width="42" customWidth="1"/>
  </cols>
  <sheetData>
    <row r="1" spans="1:18" ht="27.6">
      <c r="A1" s="2" t="s">
        <v>270</v>
      </c>
      <c r="B1" s="2" t="s">
        <v>45</v>
      </c>
      <c r="C1" s="2" t="s">
        <v>271</v>
      </c>
      <c r="D1" s="2" t="s">
        <v>272</v>
      </c>
      <c r="E1" s="2" t="s">
        <v>273</v>
      </c>
      <c r="F1" s="2" t="s">
        <v>274</v>
      </c>
      <c r="G1" s="2" t="s">
        <v>199</v>
      </c>
      <c r="H1" s="2" t="s">
        <v>275</v>
      </c>
      <c r="I1" s="2" t="s">
        <v>276</v>
      </c>
      <c r="J1" s="2" t="s">
        <v>277</v>
      </c>
      <c r="K1" s="2" t="s">
        <v>239</v>
      </c>
      <c r="L1" s="2" t="s">
        <v>240</v>
      </c>
      <c r="M1" s="2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</row>
    <row r="2" spans="1:18" ht="41.4">
      <c r="A2" s="1" t="s">
        <v>241</v>
      </c>
      <c r="B2" s="1" t="s">
        <v>57</v>
      </c>
      <c r="C2" s="1" t="s">
        <v>284</v>
      </c>
      <c r="D2" s="4">
        <v>1.8</v>
      </c>
      <c r="E2" s="4">
        <v>0.2</v>
      </c>
      <c r="F2" s="9">
        <f>D2-E2</f>
        <v>1.6</v>
      </c>
      <c r="G2" s="1" t="s">
        <v>59</v>
      </c>
      <c r="H2" s="5">
        <v>46265</v>
      </c>
      <c r="I2" s="1" t="s">
        <v>285</v>
      </c>
      <c r="J2" s="1" t="s">
        <v>286</v>
      </c>
      <c r="K2" s="1" t="s">
        <v>287</v>
      </c>
      <c r="L2" s="1" t="s">
        <v>288</v>
      </c>
      <c r="M2" s="1" t="s">
        <v>289</v>
      </c>
      <c r="N2" s="10">
        <v>0</v>
      </c>
      <c r="O2" s="10">
        <f>F2-N2</f>
        <v>1.6</v>
      </c>
      <c r="P2" t="s">
        <v>286</v>
      </c>
      <c r="Q2" s="11">
        <v>46231</v>
      </c>
      <c r="R2" s="1" t="s">
        <v>290</v>
      </c>
    </row>
    <row r="3" spans="1:18" ht="41.4">
      <c r="A3" s="1" t="s">
        <v>242</v>
      </c>
      <c r="B3" s="1" t="s">
        <v>57</v>
      </c>
      <c r="C3" s="1" t="s">
        <v>291</v>
      </c>
      <c r="D3" s="4">
        <v>0.9</v>
      </c>
      <c r="E3" s="4">
        <v>0.05</v>
      </c>
      <c r="F3" s="9">
        <f>D3-E3</f>
        <v>0.85</v>
      </c>
      <c r="G3" s="1" t="s">
        <v>59</v>
      </c>
      <c r="H3" s="5">
        <v>46280</v>
      </c>
      <c r="I3" s="1" t="s">
        <v>292</v>
      </c>
      <c r="J3" s="1" t="s">
        <v>293</v>
      </c>
      <c r="K3" s="1" t="s">
        <v>287</v>
      </c>
      <c r="L3" s="1" t="s">
        <v>288</v>
      </c>
      <c r="M3" s="1" t="s">
        <v>294</v>
      </c>
      <c r="N3" s="10">
        <v>0</v>
      </c>
      <c r="O3" s="10">
        <f>F3-N3</f>
        <v>0.85</v>
      </c>
      <c r="P3" t="s">
        <v>286</v>
      </c>
      <c r="Q3" s="11">
        <v>46231</v>
      </c>
      <c r="R3" s="1" t="s">
        <v>295</v>
      </c>
    </row>
    <row r="4" spans="1:18" ht="41.4">
      <c r="A4" s="1" t="s">
        <v>296</v>
      </c>
      <c r="B4" s="1" t="s">
        <v>73</v>
      </c>
      <c r="C4" s="1" t="s">
        <v>297</v>
      </c>
      <c r="D4" s="4">
        <v>0.7</v>
      </c>
      <c r="E4" s="4">
        <v>0.1</v>
      </c>
      <c r="F4" s="9">
        <f>D4-E4</f>
        <v>0.6</v>
      </c>
      <c r="G4" s="1" t="s">
        <v>216</v>
      </c>
      <c r="H4" s="5">
        <v>46295</v>
      </c>
      <c r="I4" s="1" t="s">
        <v>298</v>
      </c>
      <c r="J4" s="1" t="s">
        <v>286</v>
      </c>
      <c r="K4" s="1" t="s">
        <v>299</v>
      </c>
      <c r="L4" s="1" t="s">
        <v>300</v>
      </c>
      <c r="M4" s="1" t="s">
        <v>301</v>
      </c>
      <c r="N4" s="10">
        <v>0.2</v>
      </c>
      <c r="O4" s="10">
        <f>F4-N4</f>
        <v>0.39999999999999997</v>
      </c>
      <c r="P4" t="s">
        <v>293</v>
      </c>
      <c r="Q4" s="11">
        <v>46231</v>
      </c>
      <c r="R4" s="1" t="s">
        <v>302</v>
      </c>
    </row>
    <row r="5" spans="1:18" ht="41.4">
      <c r="A5" s="1" t="s">
        <v>243</v>
      </c>
      <c r="B5" s="1" t="s">
        <v>97</v>
      </c>
      <c r="C5" s="1" t="s">
        <v>303</v>
      </c>
      <c r="D5" s="4">
        <v>0.6</v>
      </c>
      <c r="E5" s="4">
        <v>0.05</v>
      </c>
      <c r="F5" s="9">
        <f>D5-E5</f>
        <v>0.54999999999999993</v>
      </c>
      <c r="G5" s="1" t="s">
        <v>112</v>
      </c>
      <c r="H5" s="5">
        <v>46310</v>
      </c>
      <c r="I5" s="1" t="s">
        <v>304</v>
      </c>
      <c r="J5" s="1" t="s">
        <v>286</v>
      </c>
      <c r="K5" s="1" t="s">
        <v>287</v>
      </c>
      <c r="L5" s="1" t="s">
        <v>305</v>
      </c>
      <c r="M5" s="1" t="s">
        <v>306</v>
      </c>
      <c r="N5" s="10">
        <v>0</v>
      </c>
      <c r="O5" s="10">
        <f>F5-N5</f>
        <v>0.54999999999999993</v>
      </c>
      <c r="P5" t="s">
        <v>286</v>
      </c>
      <c r="Q5" s="11">
        <v>46231</v>
      </c>
      <c r="R5" s="1" t="s">
        <v>307</v>
      </c>
    </row>
    <row r="6" spans="1:18" ht="55.2">
      <c r="A6" s="1" t="s">
        <v>244</v>
      </c>
      <c r="B6" s="1" t="s">
        <v>117</v>
      </c>
      <c r="C6" s="1" t="s">
        <v>308</v>
      </c>
      <c r="D6" s="4">
        <v>0.8</v>
      </c>
      <c r="E6" s="4">
        <v>0</v>
      </c>
      <c r="F6" s="9">
        <f>D6-E6</f>
        <v>0.8</v>
      </c>
      <c r="G6" s="1" t="s">
        <v>309</v>
      </c>
      <c r="H6" s="5">
        <v>46249</v>
      </c>
      <c r="I6" s="1" t="s">
        <v>310</v>
      </c>
      <c r="J6" s="1" t="s">
        <v>293</v>
      </c>
      <c r="K6" s="1" t="s">
        <v>287</v>
      </c>
      <c r="L6" s="1" t="s">
        <v>311</v>
      </c>
      <c r="M6" s="1" t="s">
        <v>312</v>
      </c>
      <c r="N6" s="10">
        <v>0</v>
      </c>
      <c r="O6" s="10">
        <f>F6-N6</f>
        <v>0.8</v>
      </c>
      <c r="P6" t="s">
        <v>313</v>
      </c>
      <c r="Q6" s="11">
        <v>46231</v>
      </c>
      <c r="R6" s="1" t="s">
        <v>314</v>
      </c>
    </row>
  </sheetData>
  <conditionalFormatting sqref="J2:J6">
    <cfRule type="expression" dxfId="4" priority="1">
      <formula>J2="High"</formula>
    </cfRule>
  </conditionalFormatting>
  <dataValidations count="2">
    <dataValidation type="list" sqref="K2:K6">
      <formula1>"Not started,In progress,Completed,At risk"</formula1>
    </dataValidation>
    <dataValidation type="list" sqref="J2:J6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26" sqref="H26"/>
    </sheetView>
  </sheetViews>
  <sheetFormatPr defaultRowHeight="13.8"/>
  <cols>
    <col min="1" max="1" width="9.5" customWidth="1"/>
    <col min="2" max="2" width="34" customWidth="1"/>
    <col min="3" max="3" width="14.69921875" customWidth="1"/>
    <col min="4" max="4" width="30" customWidth="1"/>
    <col min="5" max="5" width="14.59765625" customWidth="1"/>
    <col min="6" max="6" width="19.8984375" customWidth="1"/>
    <col min="7" max="7" width="10.3984375" customWidth="1"/>
    <col min="8" max="8" width="48" customWidth="1"/>
  </cols>
  <sheetData>
    <row r="1" spans="1:8" ht="27.6">
      <c r="A1" s="2" t="s">
        <v>245</v>
      </c>
      <c r="B1" s="2" t="s">
        <v>240</v>
      </c>
      <c r="C1" s="2" t="s">
        <v>246</v>
      </c>
      <c r="D1" s="2" t="s">
        <v>247</v>
      </c>
      <c r="E1" s="2" t="s">
        <v>248</v>
      </c>
      <c r="F1" s="2" t="s">
        <v>249</v>
      </c>
      <c r="G1" s="2" t="s">
        <v>239</v>
      </c>
      <c r="H1" s="2" t="s">
        <v>250</v>
      </c>
    </row>
    <row r="2" spans="1:8" ht="27.6">
      <c r="A2" s="1" t="s">
        <v>251</v>
      </c>
      <c r="B2" s="1" t="s">
        <v>252</v>
      </c>
      <c r="C2" s="1" t="s">
        <v>242</v>
      </c>
      <c r="D2" s="1" t="s">
        <v>123</v>
      </c>
      <c r="E2" s="5">
        <v>46239</v>
      </c>
      <c r="F2" s="4">
        <v>0.9</v>
      </c>
      <c r="G2" s="1" t="s">
        <v>253</v>
      </c>
      <c r="H2" s="1" t="s">
        <v>254</v>
      </c>
    </row>
    <row r="3" spans="1:8">
      <c r="A3" s="1" t="s">
        <v>255</v>
      </c>
      <c r="B3" s="1" t="s">
        <v>256</v>
      </c>
      <c r="C3" s="1" t="s">
        <v>244</v>
      </c>
      <c r="D3" s="1" t="s">
        <v>257</v>
      </c>
      <c r="E3" s="5">
        <v>46239</v>
      </c>
      <c r="F3" s="4">
        <v>0.8</v>
      </c>
      <c r="G3" s="1" t="s">
        <v>253</v>
      </c>
      <c r="H3" s="1" t="s">
        <v>258</v>
      </c>
    </row>
    <row r="4" spans="1:8" ht="27.6">
      <c r="A4" s="1" t="s">
        <v>259</v>
      </c>
      <c r="B4" s="1" t="s">
        <v>260</v>
      </c>
      <c r="C4" s="1" t="s">
        <v>243</v>
      </c>
      <c r="D4" s="1" t="s">
        <v>123</v>
      </c>
      <c r="E4" s="5">
        <v>46246</v>
      </c>
      <c r="F4" s="4">
        <v>0.6</v>
      </c>
      <c r="G4" s="1" t="s">
        <v>253</v>
      </c>
      <c r="H4" s="1" t="s">
        <v>261</v>
      </c>
    </row>
    <row r="5" spans="1:8" ht="27.6">
      <c r="A5" s="1" t="s">
        <v>262</v>
      </c>
      <c r="B5" s="1" t="s">
        <v>263</v>
      </c>
      <c r="C5" s="1" t="s">
        <v>241</v>
      </c>
      <c r="D5" s="1" t="s">
        <v>264</v>
      </c>
      <c r="E5" s="5">
        <v>46239</v>
      </c>
      <c r="F5" s="4">
        <v>1.8</v>
      </c>
      <c r="G5" s="1" t="s">
        <v>253</v>
      </c>
      <c r="H5" s="1" t="s">
        <v>265</v>
      </c>
    </row>
    <row r="6" spans="1:8" ht="27.6">
      <c r="A6" s="1" t="s">
        <v>266</v>
      </c>
      <c r="B6" s="1" t="s">
        <v>269</v>
      </c>
      <c r="C6" s="1" t="s">
        <v>267</v>
      </c>
      <c r="D6" s="1" t="s">
        <v>123</v>
      </c>
      <c r="E6" s="5">
        <v>46241</v>
      </c>
      <c r="F6" s="4">
        <v>0</v>
      </c>
      <c r="G6" s="1" t="s">
        <v>253</v>
      </c>
      <c r="H6" s="1" t="s">
        <v>268</v>
      </c>
    </row>
  </sheetData>
  <dataValidations count="1">
    <dataValidation type="list" sqref="G2:G6">
      <formula1>"Pending,Approved,Rejected,Deferred"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L1" workbookViewId="0">
      <selection activeCell="O6" sqref="O6"/>
    </sheetView>
  </sheetViews>
  <sheetFormatPr defaultRowHeight="13.8"/>
  <cols>
    <col min="1" max="1" width="19" customWidth="1"/>
    <col min="2" max="2" width="24" customWidth="1"/>
    <col min="3" max="3" width="13" customWidth="1"/>
    <col min="4" max="4" width="14" customWidth="1"/>
    <col min="5" max="5" width="24" customWidth="1"/>
    <col min="6" max="6" width="38" customWidth="1"/>
    <col min="7" max="7" width="17" customWidth="1"/>
    <col min="8" max="8" width="18" customWidth="1"/>
    <col min="9" max="9" width="22" customWidth="1"/>
    <col min="10" max="10" width="15" customWidth="1"/>
    <col min="11" max="11" width="16" customWidth="1"/>
    <col min="12" max="12" width="34" customWidth="1"/>
    <col min="13" max="13" width="15" customWidth="1"/>
    <col min="14" max="14" width="30" customWidth="1"/>
    <col min="15" max="15" width="46" customWidth="1"/>
  </cols>
  <sheetData>
    <row r="1" spans="1:15" ht="19.2" customHeight="1">
      <c r="A1" s="19" t="s">
        <v>399</v>
      </c>
      <c r="B1" s="19" t="s">
        <v>45</v>
      </c>
      <c r="C1" s="19" t="s">
        <v>40</v>
      </c>
      <c r="D1" s="19" t="s">
        <v>195</v>
      </c>
      <c r="E1" s="19" t="s">
        <v>315</v>
      </c>
      <c r="F1" s="19" t="s">
        <v>316</v>
      </c>
      <c r="G1" s="19" t="s">
        <v>317</v>
      </c>
      <c r="H1" s="19" t="s">
        <v>48</v>
      </c>
      <c r="I1" s="19" t="s">
        <v>49</v>
      </c>
      <c r="J1" s="19" t="s">
        <v>135</v>
      </c>
      <c r="K1" s="19" t="s">
        <v>318</v>
      </c>
      <c r="L1" s="19" t="s">
        <v>319</v>
      </c>
      <c r="M1" s="19" t="s">
        <v>400</v>
      </c>
      <c r="N1" s="19" t="s">
        <v>47</v>
      </c>
      <c r="O1" s="19" t="s">
        <v>141</v>
      </c>
    </row>
    <row r="2" spans="1:15">
      <c r="A2" s="20" t="s">
        <v>401</v>
      </c>
      <c r="B2" s="20" t="s">
        <v>57</v>
      </c>
      <c r="C2" s="20" t="s">
        <v>53</v>
      </c>
      <c r="D2" s="20" t="s">
        <v>200</v>
      </c>
      <c r="E2" s="20" t="s">
        <v>56</v>
      </c>
      <c r="F2" s="20" t="s">
        <v>320</v>
      </c>
      <c r="G2" s="20" t="s">
        <v>321</v>
      </c>
      <c r="H2" s="20" t="s">
        <v>60</v>
      </c>
      <c r="I2" s="20" t="s">
        <v>78</v>
      </c>
      <c r="J2" s="21">
        <v>0.6</v>
      </c>
      <c r="K2" s="20" t="s">
        <v>241</v>
      </c>
      <c r="L2" s="20" t="s">
        <v>284</v>
      </c>
      <c r="M2" s="20" t="s">
        <v>402</v>
      </c>
      <c r="N2" s="20" t="s">
        <v>59</v>
      </c>
      <c r="O2" s="20" t="s">
        <v>322</v>
      </c>
    </row>
    <row r="3" spans="1:15">
      <c r="A3" s="22" t="s">
        <v>403</v>
      </c>
      <c r="B3" s="22" t="s">
        <v>57</v>
      </c>
      <c r="C3" s="22" t="s">
        <v>53</v>
      </c>
      <c r="D3" s="22" t="s">
        <v>200</v>
      </c>
      <c r="E3" s="22" t="s">
        <v>56</v>
      </c>
      <c r="F3" s="22" t="s">
        <v>323</v>
      </c>
      <c r="G3" s="22" t="s">
        <v>324</v>
      </c>
      <c r="H3" s="22" t="s">
        <v>60</v>
      </c>
      <c r="I3" s="22" t="s">
        <v>78</v>
      </c>
      <c r="J3" s="23">
        <v>0.4</v>
      </c>
      <c r="K3" s="22" t="s">
        <v>241</v>
      </c>
      <c r="L3" s="22" t="s">
        <v>284</v>
      </c>
      <c r="M3" s="22" t="s">
        <v>402</v>
      </c>
      <c r="N3" s="22" t="s">
        <v>59</v>
      </c>
      <c r="O3" s="22" t="s">
        <v>325</v>
      </c>
    </row>
    <row r="4" spans="1:15">
      <c r="A4" s="20" t="s">
        <v>404</v>
      </c>
      <c r="B4" s="20" t="s">
        <v>57</v>
      </c>
      <c r="C4" s="20" t="s">
        <v>53</v>
      </c>
      <c r="D4" s="20" t="s">
        <v>200</v>
      </c>
      <c r="E4" s="20" t="s">
        <v>56</v>
      </c>
      <c r="F4" s="20" t="s">
        <v>326</v>
      </c>
      <c r="G4" s="20" t="s">
        <v>327</v>
      </c>
      <c r="H4" s="20" t="s">
        <v>60</v>
      </c>
      <c r="I4" s="20" t="s">
        <v>61</v>
      </c>
      <c r="J4" s="21">
        <v>0.3</v>
      </c>
      <c r="K4" s="20" t="s">
        <v>241</v>
      </c>
      <c r="L4" s="20" t="s">
        <v>284</v>
      </c>
      <c r="M4" s="20" t="s">
        <v>402</v>
      </c>
      <c r="N4" s="20" t="s">
        <v>59</v>
      </c>
      <c r="O4" s="20" t="s">
        <v>328</v>
      </c>
    </row>
    <row r="5" spans="1:15">
      <c r="A5" s="22" t="s">
        <v>405</v>
      </c>
      <c r="B5" s="22" t="s">
        <v>57</v>
      </c>
      <c r="C5" s="22" t="s">
        <v>53</v>
      </c>
      <c r="D5" s="22" t="s">
        <v>200</v>
      </c>
      <c r="E5" s="22" t="s">
        <v>56</v>
      </c>
      <c r="F5" s="22" t="s">
        <v>329</v>
      </c>
      <c r="G5" s="22" t="s">
        <v>77</v>
      </c>
      <c r="H5" s="22" t="s">
        <v>60</v>
      </c>
      <c r="I5" s="22" t="s">
        <v>78</v>
      </c>
      <c r="J5" s="23">
        <v>0.2</v>
      </c>
      <c r="K5" s="22" t="s">
        <v>241</v>
      </c>
      <c r="L5" s="22" t="s">
        <v>284</v>
      </c>
      <c r="M5" s="22" t="s">
        <v>406</v>
      </c>
      <c r="N5" s="22" t="s">
        <v>59</v>
      </c>
      <c r="O5" s="22" t="s">
        <v>330</v>
      </c>
    </row>
    <row r="6" spans="1:15">
      <c r="A6" s="20" t="s">
        <v>407</v>
      </c>
      <c r="B6" s="20" t="s">
        <v>57</v>
      </c>
      <c r="C6" s="20" t="s">
        <v>62</v>
      </c>
      <c r="D6" s="20" t="s">
        <v>200</v>
      </c>
      <c r="E6" s="20" t="s">
        <v>56</v>
      </c>
      <c r="F6" s="20" t="s">
        <v>320</v>
      </c>
      <c r="G6" s="20" t="s">
        <v>321</v>
      </c>
      <c r="H6" s="20" t="s">
        <v>60</v>
      </c>
      <c r="I6" s="20" t="s">
        <v>78</v>
      </c>
      <c r="J6" s="21">
        <v>0.3</v>
      </c>
      <c r="K6" s="20" t="s">
        <v>241</v>
      </c>
      <c r="L6" s="20" t="s">
        <v>284</v>
      </c>
      <c r="M6" s="20" t="s">
        <v>402</v>
      </c>
      <c r="N6" s="20" t="s">
        <v>59</v>
      </c>
      <c r="O6" s="20" t="s">
        <v>482</v>
      </c>
    </row>
    <row r="7" spans="1:15">
      <c r="A7" s="22" t="s">
        <v>408</v>
      </c>
      <c r="B7" s="22" t="s">
        <v>57</v>
      </c>
      <c r="C7" s="22" t="s">
        <v>62</v>
      </c>
      <c r="D7" s="22" t="s">
        <v>200</v>
      </c>
      <c r="E7" s="22" t="s">
        <v>56</v>
      </c>
      <c r="F7" s="22" t="s">
        <v>323</v>
      </c>
      <c r="G7" s="22" t="s">
        <v>324</v>
      </c>
      <c r="H7" s="22" t="s">
        <v>60</v>
      </c>
      <c r="I7" s="22" t="s">
        <v>78</v>
      </c>
      <c r="J7" s="23">
        <v>0.1</v>
      </c>
      <c r="K7" s="22" t="s">
        <v>241</v>
      </c>
      <c r="L7" s="22" t="s">
        <v>284</v>
      </c>
      <c r="M7" s="22" t="s">
        <v>402</v>
      </c>
      <c r="N7" s="22" t="s">
        <v>59</v>
      </c>
      <c r="O7" s="22" t="s">
        <v>331</v>
      </c>
    </row>
    <row r="8" spans="1:15">
      <c r="A8" s="20" t="s">
        <v>409</v>
      </c>
      <c r="B8" s="20" t="s">
        <v>57</v>
      </c>
      <c r="C8" s="20" t="s">
        <v>62</v>
      </c>
      <c r="D8" s="20" t="s">
        <v>200</v>
      </c>
      <c r="E8" s="20" t="s">
        <v>56</v>
      </c>
      <c r="F8" s="20" t="s">
        <v>326</v>
      </c>
      <c r="G8" s="20" t="s">
        <v>327</v>
      </c>
      <c r="H8" s="20" t="s">
        <v>60</v>
      </c>
      <c r="I8" s="20" t="s">
        <v>61</v>
      </c>
      <c r="J8" s="21">
        <v>0.1</v>
      </c>
      <c r="K8" s="20" t="s">
        <v>241</v>
      </c>
      <c r="L8" s="20" t="s">
        <v>284</v>
      </c>
      <c r="M8" s="20" t="s">
        <v>402</v>
      </c>
      <c r="N8" s="20" t="s">
        <v>59</v>
      </c>
      <c r="O8" s="20" t="s">
        <v>332</v>
      </c>
    </row>
    <row r="9" spans="1:15">
      <c r="A9" s="22" t="s">
        <v>410</v>
      </c>
      <c r="B9" s="22" t="s">
        <v>57</v>
      </c>
      <c r="C9" s="22" t="s">
        <v>63</v>
      </c>
      <c r="D9" s="22" t="s">
        <v>204</v>
      </c>
      <c r="E9" s="22" t="s">
        <v>65</v>
      </c>
      <c r="F9" s="22" t="s">
        <v>333</v>
      </c>
      <c r="G9" s="22" t="s">
        <v>321</v>
      </c>
      <c r="H9" s="22" t="s">
        <v>60</v>
      </c>
      <c r="I9" s="22" t="s">
        <v>78</v>
      </c>
      <c r="J9" s="23">
        <v>0.3</v>
      </c>
      <c r="K9" s="22" t="s">
        <v>241</v>
      </c>
      <c r="L9" s="22" t="s">
        <v>284</v>
      </c>
      <c r="M9" s="22" t="s">
        <v>402</v>
      </c>
      <c r="N9" s="22" t="s">
        <v>59</v>
      </c>
      <c r="O9" s="22" t="s">
        <v>334</v>
      </c>
    </row>
    <row r="10" spans="1:15">
      <c r="A10" s="20" t="s">
        <v>411</v>
      </c>
      <c r="B10" s="20" t="s">
        <v>57</v>
      </c>
      <c r="C10" s="20" t="s">
        <v>63</v>
      </c>
      <c r="D10" s="20" t="s">
        <v>204</v>
      </c>
      <c r="E10" s="20" t="s">
        <v>65</v>
      </c>
      <c r="F10" s="20" t="s">
        <v>335</v>
      </c>
      <c r="G10" s="20" t="s">
        <v>327</v>
      </c>
      <c r="H10" s="20" t="s">
        <v>60</v>
      </c>
      <c r="I10" s="20" t="s">
        <v>61</v>
      </c>
      <c r="J10" s="21">
        <v>0.3</v>
      </c>
      <c r="K10" s="20" t="s">
        <v>241</v>
      </c>
      <c r="L10" s="20" t="s">
        <v>284</v>
      </c>
      <c r="M10" s="20" t="s">
        <v>402</v>
      </c>
      <c r="N10" s="20" t="s">
        <v>59</v>
      </c>
      <c r="O10" s="20" t="s">
        <v>336</v>
      </c>
    </row>
    <row r="11" spans="1:15">
      <c r="A11" s="22" t="s">
        <v>412</v>
      </c>
      <c r="B11" s="22" t="s">
        <v>57</v>
      </c>
      <c r="C11" s="22" t="s">
        <v>63</v>
      </c>
      <c r="D11" s="22" t="s">
        <v>204</v>
      </c>
      <c r="E11" s="22" t="s">
        <v>65</v>
      </c>
      <c r="F11" s="22" t="s">
        <v>337</v>
      </c>
      <c r="G11" s="22" t="s">
        <v>324</v>
      </c>
      <c r="H11" s="22" t="s">
        <v>60</v>
      </c>
      <c r="I11" s="22" t="s">
        <v>78</v>
      </c>
      <c r="J11" s="23">
        <v>0.2</v>
      </c>
      <c r="K11" s="22" t="s">
        <v>241</v>
      </c>
      <c r="L11" s="22" t="s">
        <v>284</v>
      </c>
      <c r="M11" s="22" t="s">
        <v>402</v>
      </c>
      <c r="N11" s="22" t="s">
        <v>59</v>
      </c>
      <c r="O11" s="22" t="s">
        <v>338</v>
      </c>
    </row>
    <row r="12" spans="1:15" ht="26.4">
      <c r="A12" s="20" t="s">
        <v>413</v>
      </c>
      <c r="B12" s="20" t="s">
        <v>57</v>
      </c>
      <c r="C12" s="20" t="s">
        <v>66</v>
      </c>
      <c r="D12" s="20" t="s">
        <v>208</v>
      </c>
      <c r="E12" s="20" t="s">
        <v>68</v>
      </c>
      <c r="F12" s="20" t="s">
        <v>339</v>
      </c>
      <c r="G12" s="20" t="s">
        <v>340</v>
      </c>
      <c r="H12" s="20" t="s">
        <v>70</v>
      </c>
      <c r="I12" s="20" t="s">
        <v>61</v>
      </c>
      <c r="J12" s="21">
        <v>0.6</v>
      </c>
      <c r="K12" s="20" t="s">
        <v>242</v>
      </c>
      <c r="L12" s="20" t="s">
        <v>291</v>
      </c>
      <c r="M12" s="20" t="s">
        <v>402</v>
      </c>
      <c r="N12" s="20" t="s">
        <v>59</v>
      </c>
      <c r="O12" s="20" t="s">
        <v>341</v>
      </c>
    </row>
    <row r="13" spans="1:15">
      <c r="A13" s="22" t="s">
        <v>414</v>
      </c>
      <c r="B13" s="22" t="s">
        <v>57</v>
      </c>
      <c r="C13" s="22" t="s">
        <v>66</v>
      </c>
      <c r="D13" s="22" t="s">
        <v>208</v>
      </c>
      <c r="E13" s="22" t="s">
        <v>68</v>
      </c>
      <c r="F13" s="22" t="s">
        <v>342</v>
      </c>
      <c r="G13" s="22" t="s">
        <v>324</v>
      </c>
      <c r="H13" s="22" t="s">
        <v>70</v>
      </c>
      <c r="I13" s="22" t="s">
        <v>78</v>
      </c>
      <c r="J13" s="23">
        <v>0.3</v>
      </c>
      <c r="K13" s="22" t="s">
        <v>242</v>
      </c>
      <c r="L13" s="22" t="s">
        <v>291</v>
      </c>
      <c r="M13" s="22" t="s">
        <v>402</v>
      </c>
      <c r="N13" s="22" t="s">
        <v>59</v>
      </c>
      <c r="O13" s="22" t="s">
        <v>343</v>
      </c>
    </row>
    <row r="14" spans="1:15" ht="26.4">
      <c r="A14" s="20" t="s">
        <v>415</v>
      </c>
      <c r="B14" s="20" t="s">
        <v>57</v>
      </c>
      <c r="C14" s="20" t="s">
        <v>66</v>
      </c>
      <c r="D14" s="20" t="s">
        <v>208</v>
      </c>
      <c r="E14" s="20" t="s">
        <v>68</v>
      </c>
      <c r="F14" s="20" t="s">
        <v>344</v>
      </c>
      <c r="G14" s="20" t="s">
        <v>70</v>
      </c>
      <c r="H14" s="20" t="s">
        <v>70</v>
      </c>
      <c r="I14" s="20" t="s">
        <v>78</v>
      </c>
      <c r="J14" s="21">
        <v>0.3</v>
      </c>
      <c r="K14" s="20" t="s">
        <v>242</v>
      </c>
      <c r="L14" s="20" t="s">
        <v>291</v>
      </c>
      <c r="M14" s="20" t="s">
        <v>402</v>
      </c>
      <c r="N14" s="20" t="s">
        <v>59</v>
      </c>
      <c r="O14" s="20" t="s">
        <v>345</v>
      </c>
    </row>
    <row r="15" spans="1:15" ht="26.4">
      <c r="A15" s="22" t="s">
        <v>416</v>
      </c>
      <c r="B15" s="22" t="s">
        <v>57</v>
      </c>
      <c r="C15" s="22" t="s">
        <v>66</v>
      </c>
      <c r="D15" s="22" t="s">
        <v>208</v>
      </c>
      <c r="E15" s="22" t="s">
        <v>68</v>
      </c>
      <c r="F15" s="22" t="s">
        <v>346</v>
      </c>
      <c r="G15" s="22" t="s">
        <v>340</v>
      </c>
      <c r="H15" s="22" t="s">
        <v>70</v>
      </c>
      <c r="I15" s="22" t="s">
        <v>61</v>
      </c>
      <c r="J15" s="23">
        <v>0.2</v>
      </c>
      <c r="K15" s="22" t="s">
        <v>242</v>
      </c>
      <c r="L15" s="22" t="s">
        <v>291</v>
      </c>
      <c r="M15" s="22" t="s">
        <v>402</v>
      </c>
      <c r="N15" s="22" t="s">
        <v>59</v>
      </c>
      <c r="O15" s="22" t="s">
        <v>347</v>
      </c>
    </row>
    <row r="16" spans="1:15">
      <c r="A16" s="20" t="s">
        <v>417</v>
      </c>
      <c r="B16" s="20" t="s">
        <v>57</v>
      </c>
      <c r="C16" s="20" t="s">
        <v>71</v>
      </c>
      <c r="D16" s="20" t="s">
        <v>208</v>
      </c>
      <c r="E16" s="20" t="s">
        <v>68</v>
      </c>
      <c r="F16" s="20" t="s">
        <v>339</v>
      </c>
      <c r="G16" s="20" t="s">
        <v>340</v>
      </c>
      <c r="H16" s="20" t="s">
        <v>70</v>
      </c>
      <c r="I16" s="20" t="s">
        <v>61</v>
      </c>
      <c r="J16" s="21">
        <v>0.2</v>
      </c>
      <c r="K16" s="20" t="s">
        <v>242</v>
      </c>
      <c r="L16" s="20" t="s">
        <v>291</v>
      </c>
      <c r="M16" s="20" t="s">
        <v>402</v>
      </c>
      <c r="N16" s="20" t="s">
        <v>59</v>
      </c>
      <c r="O16" s="20" t="s">
        <v>348</v>
      </c>
    </row>
    <row r="17" spans="1:15">
      <c r="A17" s="22" t="s">
        <v>418</v>
      </c>
      <c r="B17" s="22" t="s">
        <v>57</v>
      </c>
      <c r="C17" s="22" t="s">
        <v>71</v>
      </c>
      <c r="D17" s="22" t="s">
        <v>208</v>
      </c>
      <c r="E17" s="22" t="s">
        <v>68</v>
      </c>
      <c r="F17" s="22" t="s">
        <v>342</v>
      </c>
      <c r="G17" s="22" t="s">
        <v>324</v>
      </c>
      <c r="H17" s="22" t="s">
        <v>70</v>
      </c>
      <c r="I17" s="22" t="s">
        <v>78</v>
      </c>
      <c r="J17" s="23">
        <v>0.1</v>
      </c>
      <c r="K17" s="22" t="s">
        <v>242</v>
      </c>
      <c r="L17" s="22" t="s">
        <v>291</v>
      </c>
      <c r="M17" s="22" t="s">
        <v>402</v>
      </c>
      <c r="N17" s="22" t="s">
        <v>59</v>
      </c>
      <c r="O17" s="22" t="s">
        <v>349</v>
      </c>
    </row>
    <row r="18" spans="1:15" ht="26.4">
      <c r="A18" s="20" t="s">
        <v>419</v>
      </c>
      <c r="B18" s="20" t="s">
        <v>57</v>
      </c>
      <c r="C18" s="20" t="s">
        <v>71</v>
      </c>
      <c r="D18" s="20" t="s">
        <v>208</v>
      </c>
      <c r="E18" s="20" t="s">
        <v>68</v>
      </c>
      <c r="F18" s="20" t="s">
        <v>344</v>
      </c>
      <c r="G18" s="20" t="s">
        <v>70</v>
      </c>
      <c r="H18" s="20" t="s">
        <v>70</v>
      </c>
      <c r="I18" s="20" t="s">
        <v>78</v>
      </c>
      <c r="J18" s="21">
        <v>0.3</v>
      </c>
      <c r="K18" s="20" t="s">
        <v>242</v>
      </c>
      <c r="L18" s="20" t="s">
        <v>291</v>
      </c>
      <c r="M18" s="20" t="s">
        <v>402</v>
      </c>
      <c r="N18" s="20" t="s">
        <v>59</v>
      </c>
      <c r="O18" s="20" t="s">
        <v>350</v>
      </c>
    </row>
    <row r="19" spans="1:15">
      <c r="A19" s="22" t="s">
        <v>420</v>
      </c>
      <c r="B19" s="22" t="s">
        <v>57</v>
      </c>
      <c r="C19" s="22" t="s">
        <v>71</v>
      </c>
      <c r="D19" s="22" t="s">
        <v>208</v>
      </c>
      <c r="E19" s="22" t="s">
        <v>68</v>
      </c>
      <c r="F19" s="22" t="s">
        <v>346</v>
      </c>
      <c r="G19" s="22" t="s">
        <v>340</v>
      </c>
      <c r="H19" s="22" t="s">
        <v>70</v>
      </c>
      <c r="I19" s="22" t="s">
        <v>61</v>
      </c>
      <c r="J19" s="23">
        <v>0.2</v>
      </c>
      <c r="K19" s="22" t="s">
        <v>242</v>
      </c>
      <c r="L19" s="22" t="s">
        <v>291</v>
      </c>
      <c r="M19" s="22" t="s">
        <v>402</v>
      </c>
      <c r="N19" s="22" t="s">
        <v>59</v>
      </c>
      <c r="O19" s="22" t="s">
        <v>351</v>
      </c>
    </row>
    <row r="20" spans="1:15" ht="26.4">
      <c r="A20" s="20" t="s">
        <v>421</v>
      </c>
      <c r="B20" s="20" t="s">
        <v>73</v>
      </c>
      <c r="C20" s="20" t="s">
        <v>72</v>
      </c>
      <c r="D20" s="20" t="s">
        <v>211</v>
      </c>
      <c r="E20" s="20" t="s">
        <v>75</v>
      </c>
      <c r="F20" s="20" t="s">
        <v>422</v>
      </c>
      <c r="G20" s="20" t="s">
        <v>77</v>
      </c>
      <c r="H20" s="20" t="s">
        <v>77</v>
      </c>
      <c r="I20" s="20" t="s">
        <v>78</v>
      </c>
      <c r="J20" s="21">
        <v>0.35</v>
      </c>
      <c r="K20" s="20" t="s">
        <v>296</v>
      </c>
      <c r="L20" s="20" t="s">
        <v>297</v>
      </c>
      <c r="M20" s="20" t="s">
        <v>402</v>
      </c>
      <c r="N20" s="20" t="s">
        <v>76</v>
      </c>
      <c r="O20" s="20" t="s">
        <v>423</v>
      </c>
    </row>
    <row r="21" spans="1:15">
      <c r="A21" s="22" t="s">
        <v>424</v>
      </c>
      <c r="B21" s="22" t="s">
        <v>73</v>
      </c>
      <c r="C21" s="22" t="s">
        <v>79</v>
      </c>
      <c r="D21" s="22" t="s">
        <v>211</v>
      </c>
      <c r="E21" s="22" t="s">
        <v>75</v>
      </c>
      <c r="F21" s="22" t="s">
        <v>425</v>
      </c>
      <c r="G21" s="22" t="s">
        <v>77</v>
      </c>
      <c r="H21" s="22" t="s">
        <v>77</v>
      </c>
      <c r="I21" s="22" t="s">
        <v>78</v>
      </c>
      <c r="J21" s="23">
        <v>0.2</v>
      </c>
      <c r="K21" s="22" t="s">
        <v>296</v>
      </c>
      <c r="L21" s="22" t="s">
        <v>297</v>
      </c>
      <c r="M21" s="22" t="s">
        <v>402</v>
      </c>
      <c r="N21" s="22" t="s">
        <v>76</v>
      </c>
      <c r="O21" s="22" t="s">
        <v>426</v>
      </c>
    </row>
    <row r="22" spans="1:15" ht="26.4">
      <c r="A22" s="20" t="s">
        <v>427</v>
      </c>
      <c r="B22" s="20" t="s">
        <v>73</v>
      </c>
      <c r="C22" s="20" t="s">
        <v>80</v>
      </c>
      <c r="D22" s="20" t="s">
        <v>211</v>
      </c>
      <c r="E22" s="20" t="s">
        <v>75</v>
      </c>
      <c r="F22" s="20" t="s">
        <v>428</v>
      </c>
      <c r="G22" s="20" t="s">
        <v>77</v>
      </c>
      <c r="H22" s="20" t="s">
        <v>77</v>
      </c>
      <c r="I22" s="20" t="s">
        <v>78</v>
      </c>
      <c r="J22" s="21">
        <v>0.25</v>
      </c>
      <c r="K22" s="20" t="s">
        <v>296</v>
      </c>
      <c r="L22" s="20" t="s">
        <v>297</v>
      </c>
      <c r="M22" s="20" t="s">
        <v>402</v>
      </c>
      <c r="N22" s="20" t="s">
        <v>76</v>
      </c>
      <c r="O22" s="20" t="s">
        <v>429</v>
      </c>
    </row>
    <row r="23" spans="1:15" ht="26.4">
      <c r="A23" s="22" t="s">
        <v>430</v>
      </c>
      <c r="B23" s="22" t="s">
        <v>73</v>
      </c>
      <c r="C23" s="22" t="s">
        <v>81</v>
      </c>
      <c r="D23" s="22" t="s">
        <v>214</v>
      </c>
      <c r="E23" s="22" t="s">
        <v>83</v>
      </c>
      <c r="F23" s="22" t="s">
        <v>431</v>
      </c>
      <c r="G23" s="22" t="s">
        <v>321</v>
      </c>
      <c r="H23" s="22" t="s">
        <v>60</v>
      </c>
      <c r="I23" s="22" t="s">
        <v>61</v>
      </c>
      <c r="J23" s="23">
        <v>0.25</v>
      </c>
      <c r="K23" s="22" t="s">
        <v>296</v>
      </c>
      <c r="L23" s="22" t="s">
        <v>297</v>
      </c>
      <c r="M23" s="22" t="s">
        <v>402</v>
      </c>
      <c r="N23" s="22" t="s">
        <v>84</v>
      </c>
      <c r="O23" s="22" t="s">
        <v>432</v>
      </c>
    </row>
    <row r="24" spans="1:15" ht="26.4">
      <c r="A24" s="20" t="s">
        <v>433</v>
      </c>
      <c r="B24" s="20" t="s">
        <v>73</v>
      </c>
      <c r="C24" s="20" t="s">
        <v>85</v>
      </c>
      <c r="D24" s="20" t="s">
        <v>214</v>
      </c>
      <c r="E24" s="20" t="s">
        <v>83</v>
      </c>
      <c r="F24" s="20" t="s">
        <v>434</v>
      </c>
      <c r="G24" s="20" t="s">
        <v>321</v>
      </c>
      <c r="H24" s="20" t="s">
        <v>60</v>
      </c>
      <c r="I24" s="20" t="s">
        <v>61</v>
      </c>
      <c r="J24" s="21">
        <v>0.15</v>
      </c>
      <c r="K24" s="20" t="s">
        <v>296</v>
      </c>
      <c r="L24" s="20" t="s">
        <v>297</v>
      </c>
      <c r="M24" s="20" t="s">
        <v>402</v>
      </c>
      <c r="N24" s="20" t="s">
        <v>87</v>
      </c>
      <c r="O24" s="20" t="s">
        <v>435</v>
      </c>
    </row>
    <row r="25" spans="1:15" ht="26.4">
      <c r="A25" s="22" t="s">
        <v>436</v>
      </c>
      <c r="B25" s="22" t="s">
        <v>73</v>
      </c>
      <c r="C25" s="22" t="s">
        <v>88</v>
      </c>
      <c r="D25" s="22" t="s">
        <v>218</v>
      </c>
      <c r="E25" s="22" t="s">
        <v>89</v>
      </c>
      <c r="F25" s="22" t="s">
        <v>437</v>
      </c>
      <c r="G25" s="22" t="s">
        <v>357</v>
      </c>
      <c r="H25" s="22" t="s">
        <v>70</v>
      </c>
      <c r="I25" s="22" t="s">
        <v>78</v>
      </c>
      <c r="J25" s="23">
        <v>0.3</v>
      </c>
      <c r="K25" s="22"/>
      <c r="L25" s="22" t="s">
        <v>438</v>
      </c>
      <c r="M25" s="22" t="s">
        <v>406</v>
      </c>
      <c r="N25" s="22" t="s">
        <v>76</v>
      </c>
      <c r="O25" s="22" t="s">
        <v>439</v>
      </c>
    </row>
    <row r="26" spans="1:15" ht="26.4">
      <c r="A26" s="20" t="s">
        <v>440</v>
      </c>
      <c r="B26" s="20" t="s">
        <v>73</v>
      </c>
      <c r="C26" s="20" t="s">
        <v>90</v>
      </c>
      <c r="D26" s="20" t="s">
        <v>222</v>
      </c>
      <c r="E26" s="20" t="s">
        <v>91</v>
      </c>
      <c r="F26" s="20" t="s">
        <v>441</v>
      </c>
      <c r="G26" s="20" t="s">
        <v>340</v>
      </c>
      <c r="H26" s="20" t="s">
        <v>60</v>
      </c>
      <c r="I26" s="20" t="s">
        <v>61</v>
      </c>
      <c r="J26" s="21">
        <v>0.3</v>
      </c>
      <c r="K26" s="20" t="s">
        <v>296</v>
      </c>
      <c r="L26" s="20" t="s">
        <v>297</v>
      </c>
      <c r="M26" s="20" t="s">
        <v>402</v>
      </c>
      <c r="N26" s="20" t="s">
        <v>84</v>
      </c>
      <c r="O26" s="20" t="s">
        <v>442</v>
      </c>
    </row>
    <row r="27" spans="1:15" ht="26.4">
      <c r="A27" s="22" t="s">
        <v>443</v>
      </c>
      <c r="B27" s="22" t="s">
        <v>73</v>
      </c>
      <c r="C27" s="22" t="s">
        <v>92</v>
      </c>
      <c r="D27" s="22" t="s">
        <v>222</v>
      </c>
      <c r="E27" s="22" t="s">
        <v>91</v>
      </c>
      <c r="F27" s="22" t="s">
        <v>444</v>
      </c>
      <c r="G27" s="22" t="s">
        <v>340</v>
      </c>
      <c r="H27" s="22" t="s">
        <v>60</v>
      </c>
      <c r="I27" s="22" t="s">
        <v>61</v>
      </c>
      <c r="J27" s="23">
        <v>0.2</v>
      </c>
      <c r="K27" s="22" t="s">
        <v>296</v>
      </c>
      <c r="L27" s="22" t="s">
        <v>297</v>
      </c>
      <c r="M27" s="22" t="s">
        <v>402</v>
      </c>
      <c r="N27" s="22" t="s">
        <v>87</v>
      </c>
      <c r="O27" s="22" t="s">
        <v>445</v>
      </c>
    </row>
    <row r="28" spans="1:15">
      <c r="A28" s="20" t="s">
        <v>446</v>
      </c>
      <c r="B28" s="20" t="s">
        <v>97</v>
      </c>
      <c r="C28" s="20" t="s">
        <v>93</v>
      </c>
      <c r="D28" s="20" t="s">
        <v>225</v>
      </c>
      <c r="E28" s="20" t="s">
        <v>96</v>
      </c>
      <c r="F28" s="20" t="s">
        <v>447</v>
      </c>
      <c r="G28" s="20" t="s">
        <v>324</v>
      </c>
      <c r="H28" s="20" t="s">
        <v>60</v>
      </c>
      <c r="I28" s="20" t="s">
        <v>78</v>
      </c>
      <c r="J28" s="21">
        <v>0.2</v>
      </c>
      <c r="K28" s="20" t="s">
        <v>243</v>
      </c>
      <c r="L28" s="20" t="s">
        <v>303</v>
      </c>
      <c r="M28" s="20" t="s">
        <v>402</v>
      </c>
      <c r="N28" s="20" t="s">
        <v>98</v>
      </c>
      <c r="O28" s="20" t="s">
        <v>448</v>
      </c>
    </row>
    <row r="29" spans="1:15">
      <c r="A29" s="22" t="s">
        <v>449</v>
      </c>
      <c r="B29" s="22" t="s">
        <v>97</v>
      </c>
      <c r="C29" s="22" t="s">
        <v>99</v>
      </c>
      <c r="D29" s="22" t="s">
        <v>225</v>
      </c>
      <c r="E29" s="22" t="s">
        <v>101</v>
      </c>
      <c r="F29" s="22" t="s">
        <v>450</v>
      </c>
      <c r="G29" s="22" t="s">
        <v>324</v>
      </c>
      <c r="H29" s="22" t="s">
        <v>60</v>
      </c>
      <c r="I29" s="22" t="s">
        <v>78</v>
      </c>
      <c r="J29" s="23">
        <v>0.15</v>
      </c>
      <c r="K29" s="22" t="s">
        <v>243</v>
      </c>
      <c r="L29" s="22" t="s">
        <v>303</v>
      </c>
      <c r="M29" s="22" t="s">
        <v>402</v>
      </c>
      <c r="N29" s="22" t="s">
        <v>102</v>
      </c>
      <c r="O29" s="22" t="s">
        <v>451</v>
      </c>
    </row>
    <row r="30" spans="1:15">
      <c r="A30" s="20" t="s">
        <v>452</v>
      </c>
      <c r="B30" s="20" t="s">
        <v>97</v>
      </c>
      <c r="C30" s="20" t="s">
        <v>103</v>
      </c>
      <c r="D30" s="20" t="s">
        <v>225</v>
      </c>
      <c r="E30" s="20" t="s">
        <v>105</v>
      </c>
      <c r="F30" s="20" t="s">
        <v>453</v>
      </c>
      <c r="G30" s="20" t="s">
        <v>324</v>
      </c>
      <c r="H30" s="20" t="s">
        <v>60</v>
      </c>
      <c r="I30" s="20" t="s">
        <v>78</v>
      </c>
      <c r="J30" s="21">
        <v>0.1</v>
      </c>
      <c r="K30" s="20" t="s">
        <v>243</v>
      </c>
      <c r="L30" s="20" t="s">
        <v>303</v>
      </c>
      <c r="M30" s="20" t="s">
        <v>402</v>
      </c>
      <c r="N30" s="20" t="s">
        <v>106</v>
      </c>
      <c r="O30" s="20" t="s">
        <v>454</v>
      </c>
    </row>
    <row r="31" spans="1:15" ht="26.4">
      <c r="A31" s="22" t="s">
        <v>455</v>
      </c>
      <c r="B31" s="22" t="s">
        <v>97</v>
      </c>
      <c r="C31" s="22" t="s">
        <v>107</v>
      </c>
      <c r="D31" s="22" t="s">
        <v>225</v>
      </c>
      <c r="E31" s="22" t="s">
        <v>108</v>
      </c>
      <c r="F31" s="22" t="s">
        <v>456</v>
      </c>
      <c r="G31" s="22" t="s">
        <v>324</v>
      </c>
      <c r="H31" s="22" t="s">
        <v>60</v>
      </c>
      <c r="I31" s="22" t="s">
        <v>78</v>
      </c>
      <c r="J31" s="23">
        <v>0.15</v>
      </c>
      <c r="K31" s="22" t="s">
        <v>243</v>
      </c>
      <c r="L31" s="22" t="s">
        <v>303</v>
      </c>
      <c r="M31" s="22" t="s">
        <v>402</v>
      </c>
      <c r="N31" s="22" t="s">
        <v>87</v>
      </c>
      <c r="O31" s="22" t="s">
        <v>457</v>
      </c>
    </row>
    <row r="32" spans="1:15">
      <c r="A32" s="20" t="s">
        <v>458</v>
      </c>
      <c r="B32" s="20" t="s">
        <v>97</v>
      </c>
      <c r="C32" s="20" t="s">
        <v>109</v>
      </c>
      <c r="D32" s="20" t="s">
        <v>225</v>
      </c>
      <c r="E32" s="20" t="s">
        <v>111</v>
      </c>
      <c r="F32" s="20" t="s">
        <v>459</v>
      </c>
      <c r="G32" s="20" t="s">
        <v>324</v>
      </c>
      <c r="H32" s="20" t="s">
        <v>60</v>
      </c>
      <c r="I32" s="20" t="s">
        <v>78</v>
      </c>
      <c r="J32" s="21">
        <v>0.1</v>
      </c>
      <c r="K32" s="20" t="s">
        <v>243</v>
      </c>
      <c r="L32" s="20" t="s">
        <v>303</v>
      </c>
      <c r="M32" s="20" t="s">
        <v>402</v>
      </c>
      <c r="N32" s="20" t="s">
        <v>112</v>
      </c>
      <c r="O32" s="20" t="s">
        <v>460</v>
      </c>
    </row>
    <row r="33" spans="1:15">
      <c r="A33" s="22" t="s">
        <v>461</v>
      </c>
      <c r="B33" s="22" t="s">
        <v>97</v>
      </c>
      <c r="C33" s="22" t="s">
        <v>93</v>
      </c>
      <c r="D33" s="22" t="s">
        <v>228</v>
      </c>
      <c r="E33" s="22" t="s">
        <v>96</v>
      </c>
      <c r="F33" s="22" t="s">
        <v>462</v>
      </c>
      <c r="G33" s="22" t="s">
        <v>321</v>
      </c>
      <c r="H33" s="22" t="s">
        <v>60</v>
      </c>
      <c r="I33" s="22" t="s">
        <v>78</v>
      </c>
      <c r="J33" s="23">
        <v>0.2</v>
      </c>
      <c r="K33" s="22"/>
      <c r="L33" s="22" t="s">
        <v>463</v>
      </c>
      <c r="M33" s="22" t="s">
        <v>406</v>
      </c>
      <c r="N33" s="22" t="s">
        <v>98</v>
      </c>
      <c r="O33" s="22" t="s">
        <v>464</v>
      </c>
    </row>
    <row r="34" spans="1:15">
      <c r="A34" s="20" t="s">
        <v>465</v>
      </c>
      <c r="B34" s="20" t="s">
        <v>97</v>
      </c>
      <c r="C34" s="20" t="s">
        <v>99</v>
      </c>
      <c r="D34" s="20" t="s">
        <v>228</v>
      </c>
      <c r="E34" s="20" t="s">
        <v>101</v>
      </c>
      <c r="F34" s="20" t="s">
        <v>466</v>
      </c>
      <c r="G34" s="20" t="s">
        <v>321</v>
      </c>
      <c r="H34" s="20" t="s">
        <v>60</v>
      </c>
      <c r="I34" s="20" t="s">
        <v>78</v>
      </c>
      <c r="J34" s="21">
        <v>0.1</v>
      </c>
      <c r="K34" s="20"/>
      <c r="L34" s="20" t="s">
        <v>463</v>
      </c>
      <c r="M34" s="20" t="s">
        <v>406</v>
      </c>
      <c r="N34" s="20" t="s">
        <v>102</v>
      </c>
      <c r="O34" s="20" t="s">
        <v>467</v>
      </c>
    </row>
    <row r="35" spans="1:15" ht="26.4">
      <c r="A35" s="22" t="s">
        <v>468</v>
      </c>
      <c r="B35" s="22" t="s">
        <v>97</v>
      </c>
      <c r="C35" s="22" t="s">
        <v>107</v>
      </c>
      <c r="D35" s="22" t="s">
        <v>228</v>
      </c>
      <c r="E35" s="22" t="s">
        <v>108</v>
      </c>
      <c r="F35" s="22" t="s">
        <v>469</v>
      </c>
      <c r="G35" s="22" t="s">
        <v>321</v>
      </c>
      <c r="H35" s="22" t="s">
        <v>60</v>
      </c>
      <c r="I35" s="22" t="s">
        <v>78</v>
      </c>
      <c r="J35" s="23">
        <v>0.1</v>
      </c>
      <c r="K35" s="22"/>
      <c r="L35" s="22" t="s">
        <v>463</v>
      </c>
      <c r="M35" s="22" t="s">
        <v>406</v>
      </c>
      <c r="N35" s="22" t="s">
        <v>87</v>
      </c>
      <c r="O35" s="22" t="s">
        <v>470</v>
      </c>
    </row>
    <row r="36" spans="1:15" ht="26.4">
      <c r="A36" s="20" t="s">
        <v>471</v>
      </c>
      <c r="B36" s="20" t="s">
        <v>97</v>
      </c>
      <c r="C36" s="20" t="s">
        <v>103</v>
      </c>
      <c r="D36" s="20" t="s">
        <v>231</v>
      </c>
      <c r="E36" s="20" t="s">
        <v>105</v>
      </c>
      <c r="F36" s="20" t="s">
        <v>472</v>
      </c>
      <c r="G36" s="20" t="s">
        <v>473</v>
      </c>
      <c r="H36" s="20" t="s">
        <v>70</v>
      </c>
      <c r="I36" s="20" t="s">
        <v>61</v>
      </c>
      <c r="J36" s="21">
        <v>0.15</v>
      </c>
      <c r="K36" s="20" t="s">
        <v>243</v>
      </c>
      <c r="L36" s="20" t="s">
        <v>303</v>
      </c>
      <c r="M36" s="20" t="s">
        <v>402</v>
      </c>
      <c r="N36" s="20" t="s">
        <v>106</v>
      </c>
      <c r="O36" s="20" t="s">
        <v>474</v>
      </c>
    </row>
    <row r="37" spans="1:15" ht="26.4">
      <c r="A37" s="22" t="s">
        <v>475</v>
      </c>
      <c r="B37" s="22" t="s">
        <v>97</v>
      </c>
      <c r="C37" s="22" t="s">
        <v>109</v>
      </c>
      <c r="D37" s="22" t="s">
        <v>231</v>
      </c>
      <c r="E37" s="22" t="s">
        <v>111</v>
      </c>
      <c r="F37" s="22" t="s">
        <v>472</v>
      </c>
      <c r="G37" s="22" t="s">
        <v>473</v>
      </c>
      <c r="H37" s="22" t="s">
        <v>70</v>
      </c>
      <c r="I37" s="22" t="s">
        <v>61</v>
      </c>
      <c r="J37" s="23">
        <v>0.15</v>
      </c>
      <c r="K37" s="22" t="s">
        <v>243</v>
      </c>
      <c r="L37" s="22" t="s">
        <v>303</v>
      </c>
      <c r="M37" s="22" t="s">
        <v>402</v>
      </c>
      <c r="N37" s="22" t="s">
        <v>112</v>
      </c>
      <c r="O37" s="22" t="s">
        <v>476</v>
      </c>
    </row>
    <row r="38" spans="1:15" ht="26.4">
      <c r="A38" s="20" t="s">
        <v>477</v>
      </c>
      <c r="B38" s="20" t="s">
        <v>97</v>
      </c>
      <c r="C38" s="20" t="s">
        <v>107</v>
      </c>
      <c r="D38" s="20" t="s">
        <v>235</v>
      </c>
      <c r="E38" s="20" t="s">
        <v>108</v>
      </c>
      <c r="F38" s="20" t="s">
        <v>478</v>
      </c>
      <c r="G38" s="20" t="s">
        <v>479</v>
      </c>
      <c r="H38" s="20" t="s">
        <v>70</v>
      </c>
      <c r="I38" s="20" t="s">
        <v>61</v>
      </c>
      <c r="J38" s="21">
        <v>0.1</v>
      </c>
      <c r="K38" s="20"/>
      <c r="L38" s="20" t="s">
        <v>480</v>
      </c>
      <c r="M38" s="20" t="s">
        <v>406</v>
      </c>
      <c r="N38" s="20" t="s">
        <v>123</v>
      </c>
      <c r="O38" s="20" t="s">
        <v>481</v>
      </c>
    </row>
  </sheetData>
  <dataValidations count="4">
    <dataValidation type="list" sqref="M2:M38">
      <formula1>"Direct,Indirect"</formula1>
    </dataValidation>
    <dataValidation type="list" sqref="I2:I38">
      <formula1>"Controllable,Partially controllable,Uncontrollable"</formula1>
    </dataValidation>
    <dataValidation type="list" sqref="H2:H38">
      <formula1>"Structural,Timing,One-off"</formula1>
    </dataValidation>
    <dataValidation type="list" sqref="G2:G38">
      <formula1>"Volume,Price,Efficiency,Timing,Scope,One-off,Assumption,Contract,Classification"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K23" sqref="K23"/>
    </sheetView>
  </sheetViews>
  <sheetFormatPr defaultRowHeight="13.8"/>
  <cols>
    <col min="1" max="1" width="46" customWidth="1"/>
    <col min="2" max="2" width="10.796875" customWidth="1"/>
    <col min="3" max="3" width="10.296875" customWidth="1"/>
    <col min="4" max="4" width="8.3984375" customWidth="1"/>
    <col min="5" max="5" width="11.5" customWidth="1"/>
  </cols>
  <sheetData>
    <row r="1" spans="1:5">
      <c r="A1" s="24" t="s">
        <v>376</v>
      </c>
      <c r="B1" s="24"/>
      <c r="C1" s="24"/>
      <c r="D1" s="24"/>
      <c r="E1" s="24"/>
    </row>
    <row r="2" spans="1:5">
      <c r="A2" s="24"/>
      <c r="B2" s="24"/>
      <c r="C2" s="24"/>
      <c r="D2" s="24"/>
      <c r="E2" s="24"/>
    </row>
    <row r="4" spans="1:5" ht="27.6">
      <c r="A4" s="2" t="s">
        <v>377</v>
      </c>
      <c r="B4" s="2" t="s">
        <v>378</v>
      </c>
      <c r="C4" s="2" t="s">
        <v>379</v>
      </c>
      <c r="D4" s="2" t="s">
        <v>380</v>
      </c>
      <c r="E4" s="2" t="s">
        <v>239</v>
      </c>
    </row>
    <row r="5" spans="1:5">
      <c r="A5" s="15" t="s">
        <v>381</v>
      </c>
      <c r="B5" s="4">
        <v>50</v>
      </c>
      <c r="C5" s="6">
        <f>SUMIFS([2]Fact_Cost_Monthly!$L$2:$L$277,[2]Fact_Cost_Monthly!$K$2:$K$277,"Actual")</f>
        <v>49.999999999999993</v>
      </c>
      <c r="D5" s="6">
        <f t="shared" ref="D5:D18" si="0">C5-B5</f>
        <v>0</v>
      </c>
      <c r="E5" s="8" t="str">
        <f t="shared" ref="E5:E18" si="1">IF(ABS(D5)&lt;0.0001,"PASS","CHECK")</f>
        <v>PASS</v>
      </c>
    </row>
    <row r="6" spans="1:5">
      <c r="A6" s="15" t="s">
        <v>382</v>
      </c>
      <c r="B6" s="4">
        <v>54.2</v>
      </c>
      <c r="C6" s="6">
        <f>SUMIFS([2]Fact_Cost_Monthly!$M$2:$M$277,[2]Fact_Cost_Monthly!$K$2:$K$277,"Actual")</f>
        <v>54.200000000000067</v>
      </c>
      <c r="D6" s="6">
        <f t="shared" si="0"/>
        <v>6.3948846218409017E-14</v>
      </c>
      <c r="E6" s="8" t="str">
        <f t="shared" si="1"/>
        <v>PASS</v>
      </c>
    </row>
    <row r="7" spans="1:5">
      <c r="A7" s="15" t="s">
        <v>383</v>
      </c>
      <c r="B7" s="4">
        <v>4.2</v>
      </c>
      <c r="C7" s="6">
        <f>C6-C5</f>
        <v>4.2000000000000739</v>
      </c>
      <c r="D7" s="6">
        <f t="shared" si="0"/>
        <v>7.3718808835110394E-14</v>
      </c>
      <c r="E7" s="8" t="str">
        <f t="shared" si="1"/>
        <v>PASS</v>
      </c>
    </row>
    <row r="8" spans="1:5">
      <c r="A8" s="15" t="s">
        <v>384</v>
      </c>
      <c r="B8" s="4">
        <v>100</v>
      </c>
      <c r="C8" s="6">
        <f>SUM([2]Fact_Cost_Monthly!$L$2:$L$277)</f>
        <v>99.999999999999773</v>
      </c>
      <c r="D8" s="6">
        <f t="shared" si="0"/>
        <v>-2.2737367544323206E-13</v>
      </c>
      <c r="E8" s="8" t="str">
        <f t="shared" si="1"/>
        <v>PASS</v>
      </c>
    </row>
    <row r="9" spans="1:5">
      <c r="A9" s="15" t="s">
        <v>385</v>
      </c>
      <c r="B9" s="4">
        <v>108.5</v>
      </c>
      <c r="C9" s="6">
        <f>SUM([2]Fact_Cost_Monthly!$M$2:$M$277)</f>
        <v>108.4999999999999</v>
      </c>
      <c r="D9" s="6">
        <f t="shared" si="0"/>
        <v>0</v>
      </c>
      <c r="E9" s="8" t="str">
        <f t="shared" si="1"/>
        <v>PASS</v>
      </c>
    </row>
    <row r="10" spans="1:5">
      <c r="A10" s="15" t="s">
        <v>386</v>
      </c>
      <c r="B10" s="4">
        <v>8.5</v>
      </c>
      <c r="C10" s="6">
        <f>C9-C8</f>
        <v>8.5000000000001279</v>
      </c>
      <c r="D10" s="6">
        <f t="shared" si="0"/>
        <v>1.2789769243681803E-13</v>
      </c>
      <c r="E10" s="8" t="str">
        <f t="shared" si="1"/>
        <v>PASS</v>
      </c>
    </row>
    <row r="11" spans="1:5">
      <c r="A11" s="15" t="s">
        <v>387</v>
      </c>
      <c r="B11" s="4">
        <v>4.8</v>
      </c>
      <c r="C11" s="6">
        <f>SUM([2]Action_Plan!$D$2:$D$6)</f>
        <v>4.8</v>
      </c>
      <c r="D11" s="6">
        <f t="shared" si="0"/>
        <v>0</v>
      </c>
      <c r="E11" s="8" t="str">
        <f t="shared" si="1"/>
        <v>PASS</v>
      </c>
    </row>
    <row r="12" spans="1:5">
      <c r="A12" s="15" t="s">
        <v>388</v>
      </c>
      <c r="B12" s="4">
        <v>3.7</v>
      </c>
      <c r="C12" s="6">
        <f>C10-C11</f>
        <v>3.7000000000001281</v>
      </c>
      <c r="D12" s="6">
        <f t="shared" si="0"/>
        <v>1.2789769243681803E-13</v>
      </c>
      <c r="E12" s="8" t="str">
        <f t="shared" si="1"/>
        <v>PASS</v>
      </c>
    </row>
    <row r="13" spans="1:5">
      <c r="A13" s="15" t="s">
        <v>389</v>
      </c>
      <c r="B13" s="4">
        <v>5</v>
      </c>
      <c r="C13" s="6">
        <f>SUMIFS([2]Fact_Cost_Monthly!$N$2:$N$277,[2]Fact_Cost_Monthly!$G$2:$G$277,"Information Technology")</f>
        <v>4.9999999999999982</v>
      </c>
      <c r="D13" s="6">
        <f t="shared" si="0"/>
        <v>0</v>
      </c>
      <c r="E13" s="8" t="str">
        <f t="shared" si="1"/>
        <v>PASS</v>
      </c>
    </row>
    <row r="14" spans="1:5">
      <c r="A14" s="15" t="s">
        <v>390</v>
      </c>
      <c r="B14" s="4">
        <v>2</v>
      </c>
      <c r="C14" s="6">
        <f>SUMIFS([2]Fact_Cost_Monthly!$N$2:$N$277,[2]Fact_Cost_Monthly!$G$2:$G$277,"Human Resources")</f>
        <v>2.0000000000000004</v>
      </c>
      <c r="D14" s="6">
        <f t="shared" si="0"/>
        <v>0</v>
      </c>
      <c r="E14" s="8" t="str">
        <f t="shared" si="1"/>
        <v>PASS</v>
      </c>
    </row>
    <row r="15" spans="1:5">
      <c r="A15" s="15" t="s">
        <v>391</v>
      </c>
      <c r="B15" s="4">
        <v>1.5</v>
      </c>
      <c r="C15" s="6">
        <f>SUMIFS([2]Fact_Cost_Monthly!$N$2:$N$277,[2]Fact_Cost_Monthly!$G$2:$G$277,"Operations Suppliers")</f>
        <v>1.5000000000000011</v>
      </c>
      <c r="D15" s="6">
        <f t="shared" si="0"/>
        <v>0</v>
      </c>
      <c r="E15" s="8" t="str">
        <f t="shared" si="1"/>
        <v>PASS</v>
      </c>
    </row>
    <row r="16" spans="1:5">
      <c r="A16" s="15" t="s">
        <v>392</v>
      </c>
      <c r="B16" s="4">
        <v>0</v>
      </c>
      <c r="C16" s="6">
        <f>SUMIFS([2]Fact_Cost_Monthly!$N$2:$N$277,[2]Fact_Cost_Monthly!$G$2:$G$277,"Other")</f>
        <v>4.7184478546569153E-16</v>
      </c>
      <c r="D16" s="6">
        <f t="shared" si="0"/>
        <v>4.7184478546569153E-16</v>
      </c>
      <c r="E16" s="8" t="str">
        <f t="shared" si="1"/>
        <v>PASS</v>
      </c>
    </row>
    <row r="17" spans="1:5">
      <c r="A17" s="15" t="s">
        <v>393</v>
      </c>
      <c r="B17" s="4">
        <v>8.5</v>
      </c>
      <c r="C17" s="6">
        <f>SUM([2]Root_Causes!$G$2:$G$12)</f>
        <v>8.5</v>
      </c>
      <c r="D17" s="6">
        <f t="shared" si="0"/>
        <v>0</v>
      </c>
      <c r="E17" s="8" t="str">
        <f t="shared" si="1"/>
        <v>PASS</v>
      </c>
    </row>
    <row r="18" spans="1:5" ht="27.6">
      <c r="A18" s="15" t="s">
        <v>394</v>
      </c>
      <c r="B18" s="16">
        <v>0.82352941180000006</v>
      </c>
      <c r="C18" s="17">
        <f>(C13+C14)/C10</f>
        <v>0.8235294117646933</v>
      </c>
      <c r="D18" s="17">
        <f t="shared" si="0"/>
        <v>-3.5306757517616916E-11</v>
      </c>
      <c r="E18" s="8" t="str">
        <f t="shared" si="1"/>
        <v>PASS</v>
      </c>
    </row>
    <row r="20" spans="1:5" ht="27.6">
      <c r="A20" s="2" t="s">
        <v>395</v>
      </c>
      <c r="B20" s="2" t="s">
        <v>378</v>
      </c>
      <c r="C20" s="2" t="s">
        <v>379</v>
      </c>
      <c r="D20" s="2" t="s">
        <v>380</v>
      </c>
      <c r="E20" s="2" t="s">
        <v>239</v>
      </c>
    </row>
    <row r="21" spans="1:5">
      <c r="A21" s="18" t="s">
        <v>396</v>
      </c>
      <c r="B21">
        <v>6</v>
      </c>
      <c r="C21">
        <f>COUNTIF([2]Dim_Date!$G$2:$G$13,"Actual")</f>
        <v>6</v>
      </c>
      <c r="D21">
        <f>C21-B21</f>
        <v>0</v>
      </c>
      <c r="E21" t="str">
        <f>IF(D21=0,"PASS","CHECK")</f>
        <v>PASS</v>
      </c>
    </row>
    <row r="22" spans="1:5">
      <c r="A22" s="18" t="s">
        <v>397</v>
      </c>
      <c r="B22">
        <v>1</v>
      </c>
      <c r="C22">
        <f>COUNTIF([2]Dim_Date!$G$2:$G$13,"Latest Estimate")</f>
        <v>1</v>
      </c>
      <c r="D22">
        <f>C22-B22</f>
        <v>0</v>
      </c>
      <c r="E22" t="str">
        <f>IF(D22=0,"PASS","CHECK")</f>
        <v>PASS</v>
      </c>
    </row>
    <row r="23" spans="1:5">
      <c r="A23" s="18" t="s">
        <v>398</v>
      </c>
      <c r="B23">
        <v>5</v>
      </c>
      <c r="C23">
        <f>COUNTIF([2]Dim_Date!$G$2:$G$13,"Forecast")</f>
        <v>5</v>
      </c>
      <c r="D23">
        <f>C23-B23</f>
        <v>0</v>
      </c>
      <c r="E23" t="str">
        <f>IF(D23=0,"PASS","CHECK")</f>
        <v>PASS</v>
      </c>
    </row>
  </sheetData>
  <mergeCells count="1">
    <mergeCell ref="A1:E2"/>
  </mergeCells>
  <conditionalFormatting sqref="E5:E18">
    <cfRule type="expression" dxfId="3" priority="1">
      <formula>E5="PASS"</formula>
    </cfRule>
    <cfRule type="expression" dxfId="2" priority="2">
      <formula>E5="CHECK"</formula>
    </cfRule>
  </conditionalFormatting>
  <conditionalFormatting sqref="E21:E23">
    <cfRule type="expression" dxfId="1" priority="3">
      <formula>E21="PASS"</formula>
    </cfRule>
    <cfRule type="expression" dxfId="0" priority="4">
      <formula>E21="CHECK"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Scenario_Delivery</vt:lpstr>
      <vt:lpstr>Dim_Date</vt:lpstr>
      <vt:lpstr>Cost_Item_Master</vt:lpstr>
      <vt:lpstr>Fact_Cost_Monthly</vt:lpstr>
      <vt:lpstr>Driver_Master</vt:lpstr>
      <vt:lpstr>Fact_Driver_Monthly</vt:lpstr>
      <vt:lpstr>Root_Causes</vt:lpstr>
      <vt:lpstr>Action_Plan</vt:lpstr>
      <vt:lpstr>Decision_Requests</vt:lpstr>
      <vt:lpstr>Operational_Drivers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84969942968</cp:lastModifiedBy>
  <dcterms:modified xsi:type="dcterms:W3CDTF">2026-07-31T10:09:29Z</dcterms:modified>
</cp:coreProperties>
</file>